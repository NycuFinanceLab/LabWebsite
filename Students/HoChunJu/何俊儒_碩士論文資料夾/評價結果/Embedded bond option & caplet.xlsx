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ml.chartshapes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4095" windowHeight="4785" activeTab="1"/>
  </bookViews>
  <sheets>
    <sheet name="convergence" sheetId="1" r:id="rId1"/>
    <sheet name="embedded bond option" sheetId="2" r:id="rId2"/>
    <sheet name="caplet" sheetId="3" r:id="rId3"/>
    <sheet name="stage vs. RMSE" sheetId="4" r:id="rId4"/>
  </sheets>
  <calcPr calcId="125725"/>
</workbook>
</file>

<file path=xl/calcChain.xml><?xml version="1.0" encoding="utf-8"?>
<calcChain xmlns="http://schemas.openxmlformats.org/spreadsheetml/2006/main">
  <c r="J4" i="3"/>
  <c r="J5"/>
  <c r="J6"/>
  <c r="J7"/>
  <c r="J8"/>
  <c r="J9"/>
  <c r="J10"/>
  <c r="J11"/>
  <c r="J12"/>
  <c r="J3"/>
  <c r="D4"/>
  <c r="D5"/>
  <c r="D6"/>
  <c r="D7"/>
  <c r="D8"/>
  <c r="D9"/>
  <c r="D10"/>
  <c r="D11"/>
  <c r="D12"/>
  <c r="D3"/>
  <c r="J36"/>
  <c r="J37"/>
  <c r="J38"/>
  <c r="J39"/>
  <c r="J40"/>
  <c r="J41"/>
  <c r="J42"/>
  <c r="J43"/>
  <c r="J44"/>
  <c r="J35"/>
  <c r="D36"/>
  <c r="D37"/>
  <c r="D38"/>
  <c r="D39"/>
  <c r="D40"/>
  <c r="D41"/>
  <c r="D42"/>
  <c r="D43"/>
  <c r="D44"/>
  <c r="D35"/>
  <c r="J19"/>
  <c r="J20"/>
  <c r="J21"/>
  <c r="J22"/>
  <c r="J23"/>
  <c r="J24"/>
  <c r="J25"/>
  <c r="J26"/>
  <c r="J27"/>
  <c r="J28"/>
  <c r="D19"/>
  <c r="D20"/>
  <c r="D21"/>
  <c r="D22"/>
  <c r="D23"/>
  <c r="D24"/>
  <c r="D25"/>
  <c r="D26"/>
  <c r="D27"/>
  <c r="D28"/>
</calcChain>
</file>

<file path=xl/sharedStrings.xml><?xml version="1.0" encoding="utf-8"?>
<sst xmlns="http://schemas.openxmlformats.org/spreadsheetml/2006/main" count="87" uniqueCount="30">
  <si>
    <t>RMSE</t>
    <phoneticPr fontId="1" type="noConversion"/>
  </si>
  <si>
    <t>Stage</t>
    <phoneticPr fontId="1" type="noConversion"/>
  </si>
  <si>
    <t>forward rate curve is flat 5%</t>
    <phoneticPr fontId="1" type="noConversion"/>
  </si>
  <si>
    <t>volatility 10%</t>
    <phoneticPr fontId="1" type="noConversion"/>
  </si>
  <si>
    <t>Maturity 10</t>
    <phoneticPr fontId="1" type="noConversion"/>
  </si>
  <si>
    <r>
      <rPr>
        <sz val="12"/>
        <color theme="1"/>
        <rFont val="Times New Roman"/>
        <family val="1"/>
      </rPr>
      <t>δ</t>
    </r>
    <r>
      <rPr>
        <sz val="12"/>
        <color theme="1"/>
        <rFont val="新細明體"/>
        <family val="1"/>
        <charset val="136"/>
      </rPr>
      <t xml:space="preserve"> = 1 K = 0.05</t>
    </r>
    <phoneticPr fontId="1" type="noConversion"/>
  </si>
  <si>
    <t>Embedded ZCB option value for volatility is 10%</t>
    <phoneticPr fontId="1" type="noConversion"/>
  </si>
  <si>
    <t>Embedded ZCB option value for volatility is 20%</t>
    <phoneticPr fontId="1" type="noConversion"/>
  </si>
  <si>
    <t>Embedded ZCB Option Value</t>
    <phoneticPr fontId="1" type="noConversion"/>
  </si>
  <si>
    <t>Maturity</t>
    <phoneticPr fontId="5" type="noConversion"/>
  </si>
  <si>
    <t xml:space="preserve">Black </t>
    <phoneticPr fontId="5" type="noConversion"/>
  </si>
  <si>
    <t>Lattice</t>
    <phoneticPr fontId="5" type="noConversion"/>
  </si>
  <si>
    <t>Difference</t>
    <phoneticPr fontId="5" type="noConversion"/>
  </si>
  <si>
    <t>RMSE</t>
    <phoneticPr fontId="5" type="noConversion"/>
  </si>
  <si>
    <t>2. Assume volatility is 20%, the forward curve is flat 5%</t>
    <phoneticPr fontId="5" type="noConversion"/>
  </si>
  <si>
    <t>Relative Difference (%)</t>
    <phoneticPr fontId="5" type="noConversion"/>
  </si>
  <si>
    <t>1. Caplet assume δ = 1 and stage 50</t>
    <phoneticPr fontId="5" type="noConversion"/>
  </si>
  <si>
    <t>volatility 20%</t>
    <phoneticPr fontId="1" type="noConversion"/>
  </si>
  <si>
    <t>1. Caplet assume δ = 1 and stage 25</t>
    <phoneticPr fontId="5" type="noConversion"/>
  </si>
  <si>
    <t>volatility 30%</t>
    <phoneticPr fontId="1" type="noConversion"/>
  </si>
  <si>
    <t>Embedded ZCB option value for volatility is 30%</t>
    <phoneticPr fontId="1" type="noConversion"/>
  </si>
  <si>
    <t>2. Assume volatility is 30%, the forward curve is flat 5%</t>
    <phoneticPr fontId="5" type="noConversion"/>
  </si>
  <si>
    <t>2. Assume volatility is 10%, the forward curve is flat 5%</t>
    <phoneticPr fontId="5" type="noConversion"/>
  </si>
  <si>
    <t xml:space="preserve">Stage </t>
    <phoneticPr fontId="1" type="noConversion"/>
  </si>
  <si>
    <t>Volatility 10%</t>
    <phoneticPr fontId="1" type="noConversion"/>
  </si>
  <si>
    <t>Volatility 20%</t>
    <phoneticPr fontId="1" type="noConversion"/>
  </si>
  <si>
    <t>Volatility 30%</t>
    <phoneticPr fontId="1" type="noConversion"/>
  </si>
  <si>
    <t>Volatility</t>
    <phoneticPr fontId="1" type="noConversion"/>
  </si>
  <si>
    <t>Embedded option value for different volatility</t>
    <phoneticPr fontId="1" type="noConversion"/>
  </si>
  <si>
    <t>Bond Option Value</t>
    <phoneticPr fontId="1" type="noConversion"/>
  </si>
</sst>
</file>

<file path=xl/styles.xml><?xml version="1.0" encoding="utf-8"?>
<styleSheet xmlns="http://schemas.openxmlformats.org/spreadsheetml/2006/main">
  <numFmts count="7">
    <numFmt numFmtId="176" formatCode="0.0000000000_);[Red]\(0.0000000000\)"/>
    <numFmt numFmtId="177" formatCode="0.0000000000_ "/>
    <numFmt numFmtId="178" formatCode="0.00000000000_ "/>
    <numFmt numFmtId="179" formatCode="0_ "/>
    <numFmt numFmtId="180" formatCode="0.000000000000_);[Red]\(0.000000000000\)"/>
    <numFmt numFmtId="181" formatCode="0.00_ "/>
    <numFmt numFmtId="182" formatCode="0.000000000000_ 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Alignment="1">
      <alignment vertical="center"/>
    </xf>
    <xf numFmtId="0" fontId="0" fillId="0" borderId="2" xfId="0" applyBorder="1">
      <alignment vertical="center"/>
    </xf>
    <xf numFmtId="177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4" xfId="0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right" vertical="center"/>
    </xf>
    <xf numFmtId="176" fontId="2" fillId="0" borderId="0" xfId="0" applyNumberFormat="1" applyFont="1" applyBorder="1">
      <alignment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/>
              <a:t>RMSE with volatility</a:t>
            </a:r>
            <a:r>
              <a:rPr lang="en-US" altLang="en-US" baseline="0"/>
              <a:t> 10%</a:t>
            </a:r>
            <a:endParaRPr lang="en-US" altLang="en-US"/>
          </a:p>
        </c:rich>
      </c:tx>
    </c:title>
    <c:plotArea>
      <c:layout/>
      <c:lineChart>
        <c:grouping val="stacked"/>
        <c:ser>
          <c:idx val="0"/>
          <c:order val="0"/>
          <c:tx>
            <c:strRef>
              <c:f>convergence!$B$2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convergence!$A$3:$A$13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cat>
          <c:val>
            <c:numRef>
              <c:f>convergence!$B$3:$B$13</c:f>
              <c:numCache>
                <c:formatCode>0.0000000000_);[Red]\(0.0000000000\)</c:formatCode>
                <c:ptCount val="11"/>
                <c:pt idx="0">
                  <c:v>5.8140743245081897E-5</c:v>
                </c:pt>
                <c:pt idx="1">
                  <c:v>3.3761280288726403E-5</c:v>
                </c:pt>
                <c:pt idx="2">
                  <c:v>1.45478204482348E-5</c:v>
                </c:pt>
                <c:pt idx="3">
                  <c:v>1.45081133337098E-5</c:v>
                </c:pt>
                <c:pt idx="4">
                  <c:v>8.1842224836598402E-6</c:v>
                </c:pt>
                <c:pt idx="5">
                  <c:v>9.6085163754799392E-6</c:v>
                </c:pt>
                <c:pt idx="6">
                  <c:v>5.8809547189820699E-6</c:v>
                </c:pt>
                <c:pt idx="7">
                  <c:v>6.3671226540112603E-6</c:v>
                </c:pt>
                <c:pt idx="8">
                  <c:v>4.0027925012899197E-6</c:v>
                </c:pt>
                <c:pt idx="9">
                  <c:v>3.1476493253524701E-6</c:v>
                </c:pt>
                <c:pt idx="10">
                  <c:v>2.5690186101798402E-6</c:v>
                </c:pt>
              </c:numCache>
            </c:numRef>
          </c:val>
        </c:ser>
        <c:marker val="1"/>
        <c:axId val="142978048"/>
        <c:axId val="142997760"/>
      </c:lineChart>
      <c:catAx>
        <c:axId val="142978048"/>
        <c:scaling>
          <c:orientation val="minMax"/>
        </c:scaling>
        <c:axPos val="b"/>
        <c:numFmt formatCode="General" sourceLinked="1"/>
        <c:tickLblPos val="nextTo"/>
        <c:crossAx val="142997760"/>
        <c:crosses val="autoZero"/>
        <c:auto val="1"/>
        <c:lblAlgn val="ctr"/>
        <c:lblOffset val="100"/>
      </c:catAx>
      <c:valAx>
        <c:axId val="142997760"/>
        <c:scaling>
          <c:orientation val="minMax"/>
        </c:scaling>
        <c:axPos val="l"/>
        <c:majorGridlines/>
        <c:numFmt formatCode="0.0000000000_);[Red]\(0.0000000000\)" sourceLinked="1"/>
        <c:tickLblPos val="nextTo"/>
        <c:crossAx val="14297804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/>
              <a:t>RMSE with Volatility 20%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convergence!$B$19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convergence!$A$20:$A$30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cat>
          <c:val>
            <c:numRef>
              <c:f>convergence!$B$20:$B$30</c:f>
              <c:numCache>
                <c:formatCode>0.0000000000_);[Red]\(0.0000000000\)</c:formatCode>
                <c:ptCount val="11"/>
                <c:pt idx="0">
                  <c:v>1.03405499843616E-4</c:v>
                </c:pt>
                <c:pt idx="1">
                  <c:v>6.1020939564407398E-5</c:v>
                </c:pt>
                <c:pt idx="2">
                  <c:v>2.8921601900743602E-5</c:v>
                </c:pt>
                <c:pt idx="3">
                  <c:v>3.1640421005436298E-5</c:v>
                </c:pt>
                <c:pt idx="4">
                  <c:v>1.7431898208529001E-5</c:v>
                </c:pt>
                <c:pt idx="5">
                  <c:v>1.6727247003503101E-5</c:v>
                </c:pt>
                <c:pt idx="6">
                  <c:v>1.30473327222247E-5</c:v>
                </c:pt>
                <c:pt idx="7">
                  <c:v>1.2004535510570601E-5</c:v>
                </c:pt>
                <c:pt idx="8">
                  <c:v>9.1289273406274901E-6</c:v>
                </c:pt>
                <c:pt idx="9">
                  <c:v>7.4991520353709698E-6</c:v>
                </c:pt>
                <c:pt idx="10">
                  <c:v>6.0911019588032902E-6</c:v>
                </c:pt>
              </c:numCache>
            </c:numRef>
          </c:val>
        </c:ser>
        <c:marker val="1"/>
        <c:axId val="143100544"/>
        <c:axId val="143118720"/>
      </c:lineChart>
      <c:catAx>
        <c:axId val="143100544"/>
        <c:scaling>
          <c:orientation val="minMax"/>
        </c:scaling>
        <c:axPos val="b"/>
        <c:numFmt formatCode="General" sourceLinked="1"/>
        <c:tickLblPos val="nextTo"/>
        <c:crossAx val="143118720"/>
        <c:crosses val="autoZero"/>
        <c:auto val="1"/>
        <c:lblAlgn val="ctr"/>
        <c:lblOffset val="100"/>
      </c:catAx>
      <c:valAx>
        <c:axId val="143118720"/>
        <c:scaling>
          <c:orientation val="minMax"/>
        </c:scaling>
        <c:axPos val="l"/>
        <c:majorGridlines/>
        <c:numFmt formatCode="0.0000000000_);[Red]\(0.0000000000\)" sourceLinked="1"/>
        <c:tickLblPos val="nextTo"/>
        <c:crossAx val="1431005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/>
              <a:t>RMSE with Volatility 30%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convergence!$B$36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convergence!$A$37:$A$47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cat>
          <c:val>
            <c:numRef>
              <c:f>convergence!$B$37:$B$47</c:f>
              <c:numCache>
                <c:formatCode>0.0000000000_);[Red]\(0.0000000000\)</c:formatCode>
                <c:ptCount val="11"/>
                <c:pt idx="0">
                  <c:v>1.47234470280764E-4</c:v>
                </c:pt>
                <c:pt idx="1">
                  <c:v>1.01512654646645E-4</c:v>
                </c:pt>
                <c:pt idx="2">
                  <c:v>4.4560708116829103E-5</c:v>
                </c:pt>
                <c:pt idx="3">
                  <c:v>3.8226930151057403E-5</c:v>
                </c:pt>
                <c:pt idx="4">
                  <c:v>2.7861626676233401E-5</c:v>
                </c:pt>
                <c:pt idx="5">
                  <c:v>2.0225878315213501E-5</c:v>
                </c:pt>
                <c:pt idx="6">
                  <c:v>2.4982576676894201E-5</c:v>
                </c:pt>
                <c:pt idx="7">
                  <c:v>1.2404664276919101E-5</c:v>
                </c:pt>
                <c:pt idx="8">
                  <c:v>1.4503847472048401E-5</c:v>
                </c:pt>
                <c:pt idx="9">
                  <c:v>1.2485353368469201E-5</c:v>
                </c:pt>
                <c:pt idx="10">
                  <c:v>9.6907754082891307E-6</c:v>
                </c:pt>
              </c:numCache>
            </c:numRef>
          </c:val>
        </c:ser>
        <c:marker val="1"/>
        <c:axId val="143134720"/>
        <c:axId val="143136256"/>
      </c:lineChart>
      <c:catAx>
        <c:axId val="143134720"/>
        <c:scaling>
          <c:orientation val="minMax"/>
        </c:scaling>
        <c:axPos val="b"/>
        <c:numFmt formatCode="General" sourceLinked="1"/>
        <c:majorTickMark val="none"/>
        <c:tickLblPos val="nextTo"/>
        <c:crossAx val="143136256"/>
        <c:crosses val="autoZero"/>
        <c:auto val="1"/>
        <c:lblAlgn val="ctr"/>
        <c:lblOffset val="100"/>
      </c:catAx>
      <c:valAx>
        <c:axId val="143136256"/>
        <c:scaling>
          <c:orientation val="minMax"/>
        </c:scaling>
        <c:axPos val="l"/>
        <c:majorGridlines/>
        <c:numFmt formatCode="0.0000000000_);[Red]\(0.0000000000\)" sourceLinked="1"/>
        <c:majorTickMark val="none"/>
        <c:tickLblPos val="nextTo"/>
        <c:crossAx val="1431347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 sz="1400"/>
              <a:t>Embedded ZCB Option Value with Voaltility 10%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87433675693954"/>
          <c:y val="0.15983873302712695"/>
          <c:w val="0.63923302262092485"/>
          <c:h val="0.7167771969768576"/>
        </c:manualLayout>
      </c:layout>
      <c:lineChart>
        <c:grouping val="standard"/>
        <c:ser>
          <c:idx val="0"/>
          <c:order val="0"/>
          <c:tx>
            <c:strRef>
              <c:f>'embedded bond option'!$B$2</c:f>
              <c:strCache>
                <c:ptCount val="1"/>
                <c:pt idx="0">
                  <c:v>Embedded ZCB Option Value</c:v>
                </c:pt>
              </c:strCache>
            </c:strRef>
          </c:tx>
          <c:cat>
            <c:numRef>
              <c:f>'embedded bond option'!$A$3:$A$13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cat>
          <c:val>
            <c:numRef>
              <c:f>'embedded bond option'!$B$3:$B$13</c:f>
              <c:numCache>
                <c:formatCode>0.0000000000_ </c:formatCode>
                <c:ptCount val="11"/>
                <c:pt idx="0">
                  <c:v>2.2687450203619998E-3</c:v>
                </c:pt>
                <c:pt idx="1">
                  <c:v>2.3241788944109998E-3</c:v>
                </c:pt>
                <c:pt idx="2">
                  <c:v>2.335182068757E-3</c:v>
                </c:pt>
                <c:pt idx="3">
                  <c:v>2.3391207392239998E-3</c:v>
                </c:pt>
                <c:pt idx="4">
                  <c:v>2.3408543665470001E-3</c:v>
                </c:pt>
                <c:pt idx="5">
                  <c:v>2.3416802636309999E-3</c:v>
                </c:pt>
                <c:pt idx="6">
                  <c:v>2.3420707882030002E-3</c:v>
                </c:pt>
                <c:pt idx="7">
                  <c:v>2.342263684979E-3</c:v>
                </c:pt>
                <c:pt idx="8">
                  <c:v>2.3421964821970002E-3</c:v>
                </c:pt>
                <c:pt idx="9">
                  <c:v>2.3418017554700001E-3</c:v>
                </c:pt>
                <c:pt idx="10">
                  <c:v>2.3413310065910002E-3</c:v>
                </c:pt>
              </c:numCache>
            </c:numRef>
          </c:val>
        </c:ser>
        <c:marker val="1"/>
        <c:axId val="143275520"/>
        <c:axId val="143277056"/>
      </c:lineChart>
      <c:catAx>
        <c:axId val="143275520"/>
        <c:scaling>
          <c:orientation val="minMax"/>
        </c:scaling>
        <c:axPos val="b"/>
        <c:numFmt formatCode="General" sourceLinked="1"/>
        <c:tickLblPos val="nextTo"/>
        <c:crossAx val="143277056"/>
        <c:crosses val="autoZero"/>
        <c:auto val="1"/>
        <c:lblAlgn val="ctr"/>
        <c:lblOffset val="100"/>
      </c:catAx>
      <c:valAx>
        <c:axId val="143277056"/>
        <c:scaling>
          <c:orientation val="minMax"/>
        </c:scaling>
        <c:axPos val="l"/>
        <c:majorGridlines/>
        <c:numFmt formatCode="0.0000000000_ " sourceLinked="1"/>
        <c:tickLblPos val="nextTo"/>
        <c:crossAx val="14327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507249753326561"/>
          <c:y val="0.52448646178179648"/>
          <c:w val="0.17101446152879873"/>
          <c:h val="0.17505374967546813"/>
        </c:manualLayout>
      </c:layout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 sz="1400"/>
              <a:t>Embedded ZCB Option Value with Volatility 20%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87433675693954"/>
          <c:y val="0.18156444036728442"/>
          <c:w val="0.64850838324621551"/>
          <c:h val="0.67828079742459479"/>
        </c:manualLayout>
      </c:layout>
      <c:lineChart>
        <c:grouping val="standard"/>
        <c:ser>
          <c:idx val="0"/>
          <c:order val="0"/>
          <c:tx>
            <c:strRef>
              <c:f>'embedded bond option'!$B$16</c:f>
              <c:strCache>
                <c:ptCount val="1"/>
                <c:pt idx="0">
                  <c:v>Embedded ZCB Option Value</c:v>
                </c:pt>
              </c:strCache>
            </c:strRef>
          </c:tx>
          <c:cat>
            <c:numRef>
              <c:f>'embedded bond option'!$A$17:$A$27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cat>
          <c:val>
            <c:numRef>
              <c:f>'embedded bond option'!$B$17:$B$27</c:f>
              <c:numCache>
                <c:formatCode>0.0000000000_ </c:formatCode>
                <c:ptCount val="11"/>
                <c:pt idx="0">
                  <c:v>4.6718023752980002E-3</c:v>
                </c:pt>
                <c:pt idx="1">
                  <c:v>4.7304356656919996E-3</c:v>
                </c:pt>
                <c:pt idx="2">
                  <c:v>4.7323506687389997E-3</c:v>
                </c:pt>
                <c:pt idx="3">
                  <c:v>4.7288545664319996E-3</c:v>
                </c:pt>
                <c:pt idx="4">
                  <c:v>4.7247701588960002E-3</c:v>
                </c:pt>
                <c:pt idx="5">
                  <c:v>4.7209422352259998E-3</c:v>
                </c:pt>
                <c:pt idx="6">
                  <c:v>4.7175142660009998E-3</c:v>
                </c:pt>
                <c:pt idx="7">
                  <c:v>4.7126358704599998E-3</c:v>
                </c:pt>
                <c:pt idx="8">
                  <c:v>4.7086062309900003E-3</c:v>
                </c:pt>
                <c:pt idx="9">
                  <c:v>4.702337714194E-3</c:v>
                </c:pt>
                <c:pt idx="10">
                  <c:v>4.697650706458E-3</c:v>
                </c:pt>
              </c:numCache>
            </c:numRef>
          </c:val>
        </c:ser>
        <c:marker val="1"/>
        <c:axId val="143800960"/>
        <c:axId val="143810944"/>
      </c:lineChart>
      <c:catAx>
        <c:axId val="143800960"/>
        <c:scaling>
          <c:orientation val="minMax"/>
        </c:scaling>
        <c:axPos val="b"/>
        <c:numFmt formatCode="General" sourceLinked="1"/>
        <c:tickLblPos val="nextTo"/>
        <c:crossAx val="143810944"/>
        <c:crosses val="autoZero"/>
        <c:auto val="1"/>
        <c:lblAlgn val="ctr"/>
        <c:lblOffset val="100"/>
      </c:catAx>
      <c:valAx>
        <c:axId val="143810944"/>
        <c:scaling>
          <c:orientation val="minMax"/>
        </c:scaling>
        <c:axPos val="l"/>
        <c:majorGridlines/>
        <c:numFmt formatCode="0.0000000000_ " sourceLinked="1"/>
        <c:tickLblPos val="nextTo"/>
        <c:crossAx val="14380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666669831487938"/>
          <c:y val="0.52781455716093739"/>
          <c:w val="0.17333330168512137"/>
          <c:h val="0.31535237706937169"/>
        </c:manualLayout>
      </c:layout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 sz="1400"/>
              <a:t>Embedded ZCB Option Value with Volatility 30%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9884441528142333"/>
          <c:y val="0.16029546306711678"/>
          <c:w val="0.61828521434820705"/>
          <c:h val="0.7159679040119985"/>
        </c:manualLayout>
      </c:layout>
      <c:lineChart>
        <c:grouping val="standard"/>
        <c:ser>
          <c:idx val="0"/>
          <c:order val="0"/>
          <c:tx>
            <c:strRef>
              <c:f>'embedded bond option'!$B$35</c:f>
              <c:strCache>
                <c:ptCount val="1"/>
                <c:pt idx="0">
                  <c:v>Embedded ZCB Option Value</c:v>
                </c:pt>
              </c:strCache>
            </c:strRef>
          </c:tx>
          <c:cat>
            <c:numRef>
              <c:f>'embedded bond option'!$A$36:$A$46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cat>
          <c:val>
            <c:numRef>
              <c:f>'embedded bond option'!$B$36:$B$46</c:f>
              <c:numCache>
                <c:formatCode>0.00000000000_ </c:formatCode>
                <c:ptCount val="11"/>
                <c:pt idx="0">
                  <c:v>7.1459848113990003E-3</c:v>
                </c:pt>
                <c:pt idx="1">
                  <c:v>7.1599909328309997E-3</c:v>
                </c:pt>
                <c:pt idx="2">
                  <c:v>7.1342696404580004E-3</c:v>
                </c:pt>
                <c:pt idx="3">
                  <c:v>7.1128238016609996E-3</c:v>
                </c:pt>
                <c:pt idx="4">
                  <c:v>7.0959371215010003E-3</c:v>
                </c:pt>
                <c:pt idx="5">
                  <c:v>7.0823871280189998E-3</c:v>
                </c:pt>
                <c:pt idx="6">
                  <c:v>7.0712479439839996E-3</c:v>
                </c:pt>
                <c:pt idx="7">
                  <c:v>7.0564303741629999E-3</c:v>
                </c:pt>
                <c:pt idx="8">
                  <c:v>7.0448370877699996E-3</c:v>
                </c:pt>
                <c:pt idx="9">
                  <c:v>7.0276308238929998E-3</c:v>
                </c:pt>
                <c:pt idx="10">
                  <c:v>7.0316634778700001E-3</c:v>
                </c:pt>
              </c:numCache>
            </c:numRef>
          </c:val>
        </c:ser>
        <c:marker val="1"/>
        <c:axId val="143831040"/>
        <c:axId val="143832576"/>
      </c:lineChart>
      <c:catAx>
        <c:axId val="143831040"/>
        <c:scaling>
          <c:orientation val="minMax"/>
        </c:scaling>
        <c:axPos val="b"/>
        <c:numFmt formatCode="General" sourceLinked="1"/>
        <c:tickLblPos val="nextTo"/>
        <c:crossAx val="143832576"/>
        <c:crosses val="autoZero"/>
        <c:auto val="1"/>
        <c:lblAlgn val="ctr"/>
        <c:lblOffset val="100"/>
      </c:catAx>
      <c:valAx>
        <c:axId val="143832576"/>
        <c:scaling>
          <c:orientation val="minMax"/>
        </c:scaling>
        <c:axPos val="l"/>
        <c:majorGridlines/>
        <c:numFmt formatCode="0.00000000000_ " sourceLinked="1"/>
        <c:tickLblPos val="nextTo"/>
        <c:crossAx val="14383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6018153980764"/>
          <c:y val="0.50187299504228589"/>
          <c:w val="0.1797315179352581"/>
          <c:h val="0.13965660542432196"/>
        </c:manualLayout>
      </c:layout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/>
              <a:t>Embedded Option Value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9532106795829265"/>
          <c:y val="0.15000908108156677"/>
          <c:w val="0.64840687529489394"/>
          <c:h val="0.71636933025409377"/>
        </c:manualLayout>
      </c:layout>
      <c:scatterChart>
        <c:scatterStyle val="smoothMarker"/>
        <c:ser>
          <c:idx val="0"/>
          <c:order val="0"/>
          <c:tx>
            <c:strRef>
              <c:f>'embedded bond option'!$B$53</c:f>
              <c:strCache>
                <c:ptCount val="1"/>
                <c:pt idx="0">
                  <c:v>Bond Option Value</c:v>
                </c:pt>
              </c:strCache>
            </c:strRef>
          </c:tx>
          <c:xVal>
            <c:numRef>
              <c:f>'embedded bond option'!$A$54:$A$74</c:f>
              <c:numCache>
                <c:formatCode>0.00_ </c:formatCode>
                <c:ptCount val="2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</c:numCache>
            </c:numRef>
          </c:xVal>
          <c:yVal>
            <c:numRef>
              <c:f>'embedded bond option'!$B$54:$B$74</c:f>
              <c:numCache>
                <c:formatCode>0.000000000000_ </c:formatCode>
                <c:ptCount val="21"/>
                <c:pt idx="0">
                  <c:v>2.342263684979E-3</c:v>
                </c:pt>
                <c:pt idx="1">
                  <c:v>2.5789654540249998E-3</c:v>
                </c:pt>
                <c:pt idx="2">
                  <c:v>2.8158897956199998E-3</c:v>
                </c:pt>
                <c:pt idx="3">
                  <c:v>3.052980629918E-3</c:v>
                </c:pt>
                <c:pt idx="4">
                  <c:v>3.2901821779220001E-3</c:v>
                </c:pt>
                <c:pt idx="5">
                  <c:v>3.527438981811E-3</c:v>
                </c:pt>
                <c:pt idx="6">
                  <c:v>3.764695925331E-3</c:v>
                </c:pt>
                <c:pt idx="7">
                  <c:v>4.00189825424E-3</c:v>
                </c:pt>
                <c:pt idx="8">
                  <c:v>4.2389915967520004E-3</c:v>
                </c:pt>
                <c:pt idx="9">
                  <c:v>4.4759219840000003E-3</c:v>
                </c:pt>
                <c:pt idx="10">
                  <c:v>4.7126358704599998E-3</c:v>
                </c:pt>
                <c:pt idx="11">
                  <c:v>4.9490801543330002E-3</c:v>
                </c:pt>
                <c:pt idx="12">
                  <c:v>5.1852021978530003E-3</c:v>
                </c:pt>
                <c:pt idx="13">
                  <c:v>5.4209498475000003E-3</c:v>
                </c:pt>
                <c:pt idx="14">
                  <c:v>5.6562714540999998E-3</c:v>
                </c:pt>
                <c:pt idx="15">
                  <c:v>5.8911158927730002E-3</c:v>
                </c:pt>
                <c:pt idx="16">
                  <c:v>6.1254325827299998E-3</c:v>
                </c:pt>
                <c:pt idx="17">
                  <c:v>6.359171506867E-3</c:v>
                </c:pt>
                <c:pt idx="18">
                  <c:v>6.5922832311589999E-3</c:v>
                </c:pt>
                <c:pt idx="19">
                  <c:v>6.8247189238119996E-3</c:v>
                </c:pt>
                <c:pt idx="20">
                  <c:v>7.0564303741629999E-3</c:v>
                </c:pt>
              </c:numCache>
            </c:numRef>
          </c:yVal>
          <c:smooth val="1"/>
        </c:ser>
        <c:axId val="154571136"/>
        <c:axId val="143846784"/>
      </c:scatterChart>
      <c:valAx>
        <c:axId val="154571136"/>
        <c:scaling>
          <c:orientation val="minMax"/>
        </c:scaling>
        <c:axPos val="b"/>
        <c:numFmt formatCode="0.00_ " sourceLinked="1"/>
        <c:tickLblPos val="nextTo"/>
        <c:crossAx val="143846784"/>
        <c:crosses val="autoZero"/>
        <c:crossBetween val="midCat"/>
      </c:valAx>
      <c:valAx>
        <c:axId val="143846784"/>
        <c:scaling>
          <c:orientation val="minMax"/>
        </c:scaling>
        <c:axPos val="l"/>
        <c:majorGridlines/>
        <c:numFmt formatCode="0.000000000000_ " sourceLinked="1"/>
        <c:tickLblPos val="nextTo"/>
        <c:crossAx val="1545711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771336553945251"/>
          <c:y val="0.52298046992000469"/>
          <c:w val="0.147850505681283"/>
          <c:h val="6.073185089434515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/>
              <a:t>Bond Option Value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5752528785829675"/>
          <c:y val="0.14096334691831869"/>
          <c:w val="0.69112401525390954"/>
          <c:h val="0.72412614252364182"/>
        </c:manualLayout>
      </c:layout>
      <c:scatterChart>
        <c:scatterStyle val="lineMarker"/>
        <c:ser>
          <c:idx val="0"/>
          <c:order val="0"/>
          <c:tx>
            <c:strRef>
              <c:f>'embedded bond option'!$B$53</c:f>
              <c:strCache>
                <c:ptCount val="1"/>
                <c:pt idx="0">
                  <c:v>Bond Option Value</c:v>
                </c:pt>
              </c:strCache>
            </c:strRef>
          </c:tx>
          <c:spPr>
            <a:ln w="28575">
              <a:noFill/>
            </a:ln>
          </c:spPr>
          <c:xVal>
            <c:numRef>
              <c:f>'embedded bond option'!$A$54:$A$74</c:f>
              <c:numCache>
                <c:formatCode>0.00_ </c:formatCode>
                <c:ptCount val="2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</c:numCache>
            </c:numRef>
          </c:xVal>
          <c:yVal>
            <c:numRef>
              <c:f>'embedded bond option'!$B$54:$B$74</c:f>
              <c:numCache>
                <c:formatCode>0.000000000000_ </c:formatCode>
                <c:ptCount val="21"/>
                <c:pt idx="0">
                  <c:v>2.342263684979E-3</c:v>
                </c:pt>
                <c:pt idx="1">
                  <c:v>2.5789654540249998E-3</c:v>
                </c:pt>
                <c:pt idx="2">
                  <c:v>2.8158897956199998E-3</c:v>
                </c:pt>
                <c:pt idx="3">
                  <c:v>3.052980629918E-3</c:v>
                </c:pt>
                <c:pt idx="4">
                  <c:v>3.2901821779220001E-3</c:v>
                </c:pt>
                <c:pt idx="5">
                  <c:v>3.527438981811E-3</c:v>
                </c:pt>
                <c:pt idx="6">
                  <c:v>3.764695925331E-3</c:v>
                </c:pt>
                <c:pt idx="7">
                  <c:v>4.00189825424E-3</c:v>
                </c:pt>
                <c:pt idx="8">
                  <c:v>4.2389915967520004E-3</c:v>
                </c:pt>
                <c:pt idx="9">
                  <c:v>4.4759219840000003E-3</c:v>
                </c:pt>
                <c:pt idx="10">
                  <c:v>4.7126358704599998E-3</c:v>
                </c:pt>
                <c:pt idx="11">
                  <c:v>4.9490801543330002E-3</c:v>
                </c:pt>
                <c:pt idx="12">
                  <c:v>5.1852021978530003E-3</c:v>
                </c:pt>
                <c:pt idx="13">
                  <c:v>5.4209498475000003E-3</c:v>
                </c:pt>
                <c:pt idx="14">
                  <c:v>5.6562714540999998E-3</c:v>
                </c:pt>
                <c:pt idx="15">
                  <c:v>5.8911158927730002E-3</c:v>
                </c:pt>
                <c:pt idx="16">
                  <c:v>6.1254325827299998E-3</c:v>
                </c:pt>
                <c:pt idx="17">
                  <c:v>6.359171506867E-3</c:v>
                </c:pt>
                <c:pt idx="18">
                  <c:v>6.5922832311589999E-3</c:v>
                </c:pt>
                <c:pt idx="19">
                  <c:v>6.8247189238119996E-3</c:v>
                </c:pt>
                <c:pt idx="20">
                  <c:v>7.0564303741629999E-3</c:v>
                </c:pt>
              </c:numCache>
            </c:numRef>
          </c:yVal>
        </c:ser>
        <c:axId val="151721088"/>
        <c:axId val="153438080"/>
      </c:scatterChart>
      <c:valAx>
        <c:axId val="151721088"/>
        <c:scaling>
          <c:orientation val="minMax"/>
        </c:scaling>
        <c:axPos val="b"/>
        <c:numFmt formatCode="0.00_ " sourceLinked="1"/>
        <c:tickLblPos val="nextTo"/>
        <c:crossAx val="153438080"/>
        <c:crosses val="autoZero"/>
        <c:crossBetween val="midCat"/>
      </c:valAx>
      <c:valAx>
        <c:axId val="153438080"/>
        <c:scaling>
          <c:orientation val="minMax"/>
        </c:scaling>
        <c:axPos val="l"/>
        <c:majorGridlines/>
        <c:numFmt formatCode="0.000000000000_ " sourceLinked="1"/>
        <c:tickLblPos val="nextTo"/>
        <c:crossAx val="1517210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938524329205527"/>
          <c:y val="0.52159485089489466"/>
          <c:w val="0.21022514773492207"/>
          <c:h val="6.0579274324377798E-2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layout/>
    </c:title>
    <c:plotArea>
      <c:layout>
        <c:manualLayout>
          <c:layoutTarget val="inner"/>
          <c:xMode val="edge"/>
          <c:yMode val="edge"/>
          <c:x val="0.25269685039370077"/>
          <c:y val="0.19480351414406533"/>
          <c:w val="0.64966426071741035"/>
          <c:h val="0.65482210557013709"/>
        </c:manualLayout>
      </c:layout>
      <c:scatterChart>
        <c:scatterStyle val="smoothMarker"/>
        <c:ser>
          <c:idx val="0"/>
          <c:order val="0"/>
          <c:tx>
            <c:strRef>
              <c:f>'embedded bond option'!$B$53</c:f>
              <c:strCache>
                <c:ptCount val="1"/>
                <c:pt idx="0">
                  <c:v>Bond Option Value</c:v>
                </c:pt>
              </c:strCache>
            </c:strRef>
          </c:tx>
          <c:xVal>
            <c:numRef>
              <c:f>'embedded bond option'!$A$54:$A$74</c:f>
              <c:numCache>
                <c:formatCode>0.00_ </c:formatCode>
                <c:ptCount val="2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</c:numCache>
            </c:numRef>
          </c:xVal>
          <c:yVal>
            <c:numRef>
              <c:f>'embedded bond option'!$B$54:$B$74</c:f>
              <c:numCache>
                <c:formatCode>0.000000000000_ </c:formatCode>
                <c:ptCount val="21"/>
                <c:pt idx="0">
                  <c:v>2.342263684979E-3</c:v>
                </c:pt>
                <c:pt idx="1">
                  <c:v>2.5789654540249998E-3</c:v>
                </c:pt>
                <c:pt idx="2">
                  <c:v>2.8158897956199998E-3</c:v>
                </c:pt>
                <c:pt idx="3">
                  <c:v>3.052980629918E-3</c:v>
                </c:pt>
                <c:pt idx="4">
                  <c:v>3.2901821779220001E-3</c:v>
                </c:pt>
                <c:pt idx="5">
                  <c:v>3.527438981811E-3</c:v>
                </c:pt>
                <c:pt idx="6">
                  <c:v>3.764695925331E-3</c:v>
                </c:pt>
                <c:pt idx="7">
                  <c:v>4.00189825424E-3</c:v>
                </c:pt>
                <c:pt idx="8">
                  <c:v>4.2389915967520004E-3</c:v>
                </c:pt>
                <c:pt idx="9">
                  <c:v>4.4759219840000003E-3</c:v>
                </c:pt>
                <c:pt idx="10">
                  <c:v>4.7126358704599998E-3</c:v>
                </c:pt>
                <c:pt idx="11">
                  <c:v>4.9490801543330002E-3</c:v>
                </c:pt>
                <c:pt idx="12">
                  <c:v>5.1852021978530003E-3</c:v>
                </c:pt>
                <c:pt idx="13">
                  <c:v>5.4209498475000003E-3</c:v>
                </c:pt>
                <c:pt idx="14">
                  <c:v>5.6562714540999998E-3</c:v>
                </c:pt>
                <c:pt idx="15">
                  <c:v>5.8911158927730002E-3</c:v>
                </c:pt>
                <c:pt idx="16">
                  <c:v>6.1254325827299998E-3</c:v>
                </c:pt>
                <c:pt idx="17">
                  <c:v>6.359171506867E-3</c:v>
                </c:pt>
                <c:pt idx="18">
                  <c:v>6.5922832311589999E-3</c:v>
                </c:pt>
                <c:pt idx="19">
                  <c:v>6.8247189238119996E-3</c:v>
                </c:pt>
                <c:pt idx="20">
                  <c:v>7.0564303741629999E-3</c:v>
                </c:pt>
              </c:numCache>
            </c:numRef>
          </c:yVal>
          <c:smooth val="1"/>
        </c:ser>
        <c:axId val="154517888"/>
        <c:axId val="154516096"/>
      </c:scatterChart>
      <c:valAx>
        <c:axId val="154517888"/>
        <c:scaling>
          <c:orientation val="minMax"/>
        </c:scaling>
        <c:axPos val="b"/>
        <c:numFmt formatCode="0.00_ " sourceLinked="1"/>
        <c:tickLblPos val="nextTo"/>
        <c:crossAx val="154516096"/>
        <c:crosses val="autoZero"/>
        <c:crossBetween val="midCat"/>
      </c:valAx>
      <c:valAx>
        <c:axId val="154516096"/>
        <c:scaling>
          <c:orientation val="minMax"/>
        </c:scaling>
        <c:axPos val="l"/>
        <c:majorGridlines/>
        <c:numFmt formatCode="0.000000000000_ " sourceLinked="1"/>
        <c:tickLblPos val="nextTo"/>
        <c:crossAx val="1545178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en-US"/>
              <a:t>RMSE with 10% Volatility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1094675339495614"/>
          <c:y val="0.15041129242222764"/>
          <c:w val="0.66972571037316087"/>
          <c:h val="0.73348194746434181"/>
        </c:manualLayout>
      </c:layout>
      <c:lineChart>
        <c:grouping val="standard"/>
        <c:ser>
          <c:idx val="1"/>
          <c:order val="0"/>
          <c:tx>
            <c:strRef>
              <c:f>'stage vs. RMSE'!$B$2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'stage vs. RMSE'!$A$3:$A$28</c:f>
              <c:numCache>
                <c:formatCode>General</c:formatCode>
                <c:ptCount val="2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</c:numCache>
            </c:numRef>
          </c:cat>
          <c:val>
            <c:numRef>
              <c:f>'stage vs. RMSE'!$B$3:$B$28</c:f>
              <c:numCache>
                <c:formatCode>0.000000000000_);[Red]\(0.000000000000\)</c:formatCode>
                <c:ptCount val="26"/>
                <c:pt idx="0">
                  <c:v>6.3671226540112704E-6</c:v>
                </c:pt>
                <c:pt idx="1">
                  <c:v>4.5602110683367505E-6</c:v>
                </c:pt>
                <c:pt idx="2">
                  <c:v>5.8209748656704304E-6</c:v>
                </c:pt>
                <c:pt idx="3">
                  <c:v>4.2251333388011399E-6</c:v>
                </c:pt>
                <c:pt idx="4">
                  <c:v>5.3951569801935003E-6</c:v>
                </c:pt>
                <c:pt idx="5">
                  <c:v>4.0027925012899206E-6</c:v>
                </c:pt>
                <c:pt idx="6">
                  <c:v>5.0586253185540001E-6</c:v>
                </c:pt>
                <c:pt idx="7">
                  <c:v>3.8593805615430904E-6</c:v>
                </c:pt>
                <c:pt idx="8">
                  <c:v>4.7901505769866398E-6</c:v>
                </c:pt>
                <c:pt idx="9">
                  <c:v>3.6449543812056006E-6</c:v>
                </c:pt>
                <c:pt idx="10">
                  <c:v>4.5752453915305406E-6</c:v>
                </c:pt>
                <c:pt idx="11">
                  <c:v>3.4321203303688007E-6</c:v>
                </c:pt>
                <c:pt idx="12">
                  <c:v>4.4038860988861206E-6</c:v>
                </c:pt>
                <c:pt idx="13">
                  <c:v>3.2705679933495505E-6</c:v>
                </c:pt>
                <c:pt idx="14">
                  <c:v>4.2689906269497202E-6</c:v>
                </c:pt>
                <c:pt idx="15">
                  <c:v>3.1476493253524706E-6</c:v>
                </c:pt>
                <c:pt idx="16">
                  <c:v>4.1654005455309208E-6</c:v>
                </c:pt>
                <c:pt idx="17">
                  <c:v>3.0544820161115501E-6</c:v>
                </c:pt>
                <c:pt idx="18">
                  <c:v>4.0892027570864197E-6</c:v>
                </c:pt>
                <c:pt idx="19">
                  <c:v>2.9848978818369302E-6</c:v>
                </c:pt>
                <c:pt idx="20">
                  <c:v>3.9569096218616708E-6</c:v>
                </c:pt>
                <c:pt idx="21">
                  <c:v>2.8377297870089405E-6</c:v>
                </c:pt>
                <c:pt idx="22">
                  <c:v>3.6535193161798306E-6</c:v>
                </c:pt>
                <c:pt idx="23">
                  <c:v>2.6907536438347902E-6</c:v>
                </c:pt>
                <c:pt idx="24">
                  <c:v>3.39358957386544E-6</c:v>
                </c:pt>
                <c:pt idx="25">
                  <c:v>2.5690186101798402E-6</c:v>
                </c:pt>
              </c:numCache>
            </c:numRef>
          </c:val>
        </c:ser>
        <c:marker val="1"/>
        <c:axId val="153858048"/>
        <c:axId val="153859584"/>
      </c:lineChart>
      <c:catAx>
        <c:axId val="153858048"/>
        <c:scaling>
          <c:orientation val="minMax"/>
        </c:scaling>
        <c:axPos val="b"/>
        <c:numFmt formatCode="General" sourceLinked="1"/>
        <c:tickLblPos val="nextTo"/>
        <c:crossAx val="153859584"/>
        <c:crosses val="autoZero"/>
        <c:auto val="1"/>
        <c:lblAlgn val="ctr"/>
        <c:lblOffset val="100"/>
      </c:catAx>
      <c:valAx>
        <c:axId val="153859584"/>
        <c:scaling>
          <c:orientation val="minMax"/>
        </c:scaling>
        <c:axPos val="l"/>
        <c:majorGridlines/>
        <c:numFmt formatCode="0.000000000000_);[Red]\(0.000000000000\)" sourceLinked="1"/>
        <c:tickLblPos val="nextTo"/>
        <c:crossAx val="1538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139710144927562"/>
          <c:y val="0.52304208622715731"/>
          <c:w val="0.1146898550724637"/>
          <c:h val="6.4639547402419201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style val="5"/>
  <c:chart>
    <c:title>
      <c:tx>
        <c:rich>
          <a:bodyPr/>
          <a:lstStyle/>
          <a:p>
            <a:pPr>
              <a:defRPr/>
            </a:pPr>
            <a:r>
              <a:rPr lang="en-US"/>
              <a:t>RMSE with 30%Volatility</a:t>
            </a:r>
          </a:p>
        </c:rich>
      </c:tx>
    </c:title>
    <c:plotArea>
      <c:layout>
        <c:manualLayout>
          <c:layoutTarget val="inner"/>
          <c:xMode val="edge"/>
          <c:yMode val="edge"/>
          <c:x val="0.21131443935361741"/>
          <c:y val="0.15081562385346994"/>
          <c:w val="0.66915013672071511"/>
          <c:h val="0.73276550108655769"/>
        </c:manualLayout>
      </c:layout>
      <c:lineChart>
        <c:grouping val="standard"/>
        <c:ser>
          <c:idx val="0"/>
          <c:order val="0"/>
          <c:tx>
            <c:strRef>
              <c:f>'stage vs. RMSE'!$B$58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'stage vs. RMSE'!$A$59:$A$84</c:f>
              <c:numCache>
                <c:formatCode>General</c:formatCode>
                <c:ptCount val="2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</c:numCache>
            </c:numRef>
          </c:cat>
          <c:val>
            <c:numRef>
              <c:f>'stage vs. RMSE'!$B$59:$B$84</c:f>
              <c:numCache>
                <c:formatCode>0.000000000000_);[Red]\(0.000000000000\)</c:formatCode>
                <c:ptCount val="26"/>
                <c:pt idx="0">
                  <c:v>1.2404664276919101E-5</c:v>
                </c:pt>
                <c:pt idx="1">
                  <c:v>1.6363410787446403E-5</c:v>
                </c:pt>
                <c:pt idx="2">
                  <c:v>1.1288161524762701E-5</c:v>
                </c:pt>
                <c:pt idx="3">
                  <c:v>1.60370583611027E-5</c:v>
                </c:pt>
                <c:pt idx="4">
                  <c:v>9.9177158251728998E-6</c:v>
                </c:pt>
                <c:pt idx="5">
                  <c:v>1.4503847472048401E-5</c:v>
                </c:pt>
                <c:pt idx="6">
                  <c:v>8.8604139488131018E-6</c:v>
                </c:pt>
                <c:pt idx="7">
                  <c:v>1.37568717358476E-5</c:v>
                </c:pt>
                <c:pt idx="8">
                  <c:v>8.6911055489131006E-6</c:v>
                </c:pt>
                <c:pt idx="9">
                  <c:v>1.31838679986612E-5</c:v>
                </c:pt>
                <c:pt idx="10">
                  <c:v>8.8384368771708997E-6</c:v>
                </c:pt>
                <c:pt idx="11">
                  <c:v>1.2629853843346501E-5</c:v>
                </c:pt>
                <c:pt idx="12">
                  <c:v>9.3217019712794011E-6</c:v>
                </c:pt>
                <c:pt idx="13">
                  <c:v>1.22568031220435E-5</c:v>
                </c:pt>
                <c:pt idx="14">
                  <c:v>1.03569140631423E-5</c:v>
                </c:pt>
                <c:pt idx="15">
                  <c:v>1.24853533684693E-5</c:v>
                </c:pt>
                <c:pt idx="16">
                  <c:v>1.2078068506038101E-5</c:v>
                </c:pt>
                <c:pt idx="17">
                  <c:v>1.3167019344356501E-5</c:v>
                </c:pt>
                <c:pt idx="18">
                  <c:v>1.44568248420827E-5</c:v>
                </c:pt>
                <c:pt idx="19">
                  <c:v>1.42662659093737E-5</c:v>
                </c:pt>
                <c:pt idx="20">
                  <c:v>1.5418893602578802E-5</c:v>
                </c:pt>
                <c:pt idx="21">
                  <c:v>1.2751501710543301E-5</c:v>
                </c:pt>
                <c:pt idx="22">
                  <c:v>1.18142421947786E-5</c:v>
                </c:pt>
                <c:pt idx="23">
                  <c:v>1.0953539136092E-5</c:v>
                </c:pt>
                <c:pt idx="24">
                  <c:v>9.2458849286570996E-6</c:v>
                </c:pt>
                <c:pt idx="25">
                  <c:v>9.6907754082891002E-6</c:v>
                </c:pt>
              </c:numCache>
            </c:numRef>
          </c:val>
        </c:ser>
        <c:marker val="1"/>
        <c:axId val="154272896"/>
        <c:axId val="154274432"/>
      </c:lineChart>
      <c:catAx>
        <c:axId val="154272896"/>
        <c:scaling>
          <c:orientation val="minMax"/>
        </c:scaling>
        <c:axPos val="b"/>
        <c:numFmt formatCode="General" sourceLinked="1"/>
        <c:tickLblPos val="nextTo"/>
        <c:crossAx val="154274432"/>
        <c:crosses val="autoZero"/>
        <c:auto val="1"/>
        <c:lblAlgn val="ctr"/>
        <c:lblOffset val="100"/>
      </c:catAx>
      <c:valAx>
        <c:axId val="154274432"/>
        <c:scaling>
          <c:orientation val="minMax"/>
        </c:scaling>
        <c:axPos val="l"/>
        <c:majorGridlines/>
        <c:numFmt formatCode="0.000000000000_);[Red]\(0.000000000000\)" sourceLinked="1"/>
        <c:tickLblPos val="nextTo"/>
        <c:crossAx val="15427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527293844367"/>
          <c:y val="0.52310416843055907"/>
          <c:w val="0.11953542392566788"/>
          <c:h val="6.4813309626619298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layout/>
    </c:title>
    <c:plotArea>
      <c:layout>
        <c:manualLayout>
          <c:layoutTarget val="inner"/>
          <c:xMode val="edge"/>
          <c:yMode val="edge"/>
          <c:x val="0.21131443935361741"/>
          <c:y val="0.1416752830138657"/>
          <c:w val="0.65753573486241068"/>
          <c:h val="0.74896153132373622"/>
        </c:manualLayout>
      </c:layout>
      <c:lineChart>
        <c:grouping val="standard"/>
        <c:ser>
          <c:idx val="0"/>
          <c:order val="0"/>
          <c:tx>
            <c:strRef>
              <c:f>'stage vs. RMSE'!$B$30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'stage vs. RMSE'!$A$31:$A$56</c:f>
              <c:numCache>
                <c:formatCode>General</c:formatCode>
                <c:ptCount val="2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</c:numCache>
            </c:numRef>
          </c:cat>
          <c:val>
            <c:numRef>
              <c:f>'stage vs. RMSE'!$B$31:$B$56</c:f>
              <c:numCache>
                <c:formatCode>0.000000000000_);[Red]\(0.000000000000\)</c:formatCode>
                <c:ptCount val="26"/>
                <c:pt idx="0">
                  <c:v>1.2004535510570601E-5</c:v>
                </c:pt>
                <c:pt idx="1">
                  <c:v>1.11316479348802E-5</c:v>
                </c:pt>
                <c:pt idx="2">
                  <c:v>1.01564220441864E-5</c:v>
                </c:pt>
                <c:pt idx="3">
                  <c:v>9.8687362144709998E-6</c:v>
                </c:pt>
                <c:pt idx="4">
                  <c:v>9.0015442442699012E-6</c:v>
                </c:pt>
                <c:pt idx="5">
                  <c:v>9.1289273406275003E-6</c:v>
                </c:pt>
                <c:pt idx="6">
                  <c:v>8.4096553118107007E-6</c:v>
                </c:pt>
                <c:pt idx="7">
                  <c:v>8.7949602580129004E-6</c:v>
                </c:pt>
                <c:pt idx="8">
                  <c:v>7.7013364201077001E-6</c:v>
                </c:pt>
                <c:pt idx="9">
                  <c:v>8.3399110789345002E-6</c:v>
                </c:pt>
                <c:pt idx="10">
                  <c:v>7.4862452871844E-6</c:v>
                </c:pt>
                <c:pt idx="11">
                  <c:v>8.0395913201208004E-6</c:v>
                </c:pt>
                <c:pt idx="12">
                  <c:v>7.0140971148063006E-6</c:v>
                </c:pt>
                <c:pt idx="13">
                  <c:v>7.6237419509459006E-6</c:v>
                </c:pt>
                <c:pt idx="14">
                  <c:v>6.2679617453498996E-6</c:v>
                </c:pt>
                <c:pt idx="15">
                  <c:v>7.4991520353710003E-6</c:v>
                </c:pt>
                <c:pt idx="16">
                  <c:v>5.8258877057017009E-6</c:v>
                </c:pt>
                <c:pt idx="17">
                  <c:v>7.5810194415164E-6</c:v>
                </c:pt>
                <c:pt idx="18">
                  <c:v>5.6074795802361004E-6</c:v>
                </c:pt>
                <c:pt idx="19">
                  <c:v>7.8144329344764005E-6</c:v>
                </c:pt>
                <c:pt idx="20">
                  <c:v>5.4045366066962006E-6</c:v>
                </c:pt>
                <c:pt idx="21">
                  <c:v>7.2303898448939004E-6</c:v>
                </c:pt>
                <c:pt idx="22">
                  <c:v>4.9549304137633002E-6</c:v>
                </c:pt>
                <c:pt idx="23">
                  <c:v>6.5738482965336006E-6</c:v>
                </c:pt>
                <c:pt idx="24">
                  <c:v>4.6830225818045004E-6</c:v>
                </c:pt>
                <c:pt idx="25">
                  <c:v>6.0911019588033003E-6</c:v>
                </c:pt>
              </c:numCache>
            </c:numRef>
          </c:val>
        </c:ser>
        <c:marker val="1"/>
        <c:axId val="154311296"/>
        <c:axId val="154313088"/>
      </c:lineChart>
      <c:catAx>
        <c:axId val="154311296"/>
        <c:scaling>
          <c:orientation val="minMax"/>
        </c:scaling>
        <c:axPos val="b"/>
        <c:numFmt formatCode="General" sourceLinked="1"/>
        <c:tickLblPos val="nextTo"/>
        <c:crossAx val="154313088"/>
        <c:crosses val="autoZero"/>
        <c:auto val="1"/>
        <c:lblAlgn val="ctr"/>
        <c:lblOffset val="100"/>
      </c:catAx>
      <c:valAx>
        <c:axId val="154313088"/>
        <c:scaling>
          <c:orientation val="minMax"/>
        </c:scaling>
        <c:axPos val="l"/>
        <c:majorGridlines/>
        <c:numFmt formatCode="0.000000000000_);[Red]\(0.000000000000\)" sourceLinked="1"/>
        <c:tickLblPos val="nextTo"/>
        <c:crossAx val="1543112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style val="5"/>
  <c:chart>
    <c:title/>
    <c:plotArea>
      <c:layout>
        <c:manualLayout>
          <c:layoutTarget val="inner"/>
          <c:xMode val="edge"/>
          <c:yMode val="edge"/>
          <c:x val="0.21094675339495611"/>
          <c:y val="0.14131841832113562"/>
          <c:w val="0.65813150747460958"/>
          <c:h val="0.74959387003576694"/>
        </c:manualLayout>
      </c:layout>
      <c:lineChart>
        <c:grouping val="standard"/>
        <c:ser>
          <c:idx val="0"/>
          <c:order val="0"/>
          <c:tx>
            <c:strRef>
              <c:f>'stage vs. RMSE'!$B$58</c:f>
              <c:strCache>
                <c:ptCount val="1"/>
                <c:pt idx="0">
                  <c:v>RMSE</c:v>
                </c:pt>
              </c:strCache>
            </c:strRef>
          </c:tx>
          <c:cat>
            <c:numRef>
              <c:f>'stage vs. RMSE'!$A$59:$A$84</c:f>
              <c:numCache>
                <c:formatCode>General</c:formatCode>
                <c:ptCount val="2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</c:numCache>
            </c:numRef>
          </c:cat>
          <c:val>
            <c:numRef>
              <c:f>'stage vs. RMSE'!$B$59:$B$84</c:f>
              <c:numCache>
                <c:formatCode>0.000000000000_);[Red]\(0.000000000000\)</c:formatCode>
                <c:ptCount val="26"/>
                <c:pt idx="0">
                  <c:v>1.2404664276919101E-5</c:v>
                </c:pt>
                <c:pt idx="1">
                  <c:v>1.6363410787446403E-5</c:v>
                </c:pt>
                <c:pt idx="2">
                  <c:v>1.1288161524762701E-5</c:v>
                </c:pt>
                <c:pt idx="3">
                  <c:v>1.60370583611027E-5</c:v>
                </c:pt>
                <c:pt idx="4">
                  <c:v>9.9177158251728998E-6</c:v>
                </c:pt>
                <c:pt idx="5">
                  <c:v>1.4503847472048401E-5</c:v>
                </c:pt>
                <c:pt idx="6">
                  <c:v>8.8604139488131018E-6</c:v>
                </c:pt>
                <c:pt idx="7">
                  <c:v>1.37568717358476E-5</c:v>
                </c:pt>
                <c:pt idx="8">
                  <c:v>8.6911055489131006E-6</c:v>
                </c:pt>
                <c:pt idx="9">
                  <c:v>1.31838679986612E-5</c:v>
                </c:pt>
                <c:pt idx="10">
                  <c:v>8.8384368771708997E-6</c:v>
                </c:pt>
                <c:pt idx="11">
                  <c:v>1.2629853843346501E-5</c:v>
                </c:pt>
                <c:pt idx="12">
                  <c:v>9.3217019712794011E-6</c:v>
                </c:pt>
                <c:pt idx="13">
                  <c:v>1.22568031220435E-5</c:v>
                </c:pt>
                <c:pt idx="14">
                  <c:v>1.03569140631423E-5</c:v>
                </c:pt>
                <c:pt idx="15">
                  <c:v>1.24853533684693E-5</c:v>
                </c:pt>
                <c:pt idx="16">
                  <c:v>1.2078068506038101E-5</c:v>
                </c:pt>
                <c:pt idx="17">
                  <c:v>1.3167019344356501E-5</c:v>
                </c:pt>
                <c:pt idx="18">
                  <c:v>1.44568248420827E-5</c:v>
                </c:pt>
                <c:pt idx="19">
                  <c:v>1.42662659093737E-5</c:v>
                </c:pt>
                <c:pt idx="20">
                  <c:v>1.5418893602578802E-5</c:v>
                </c:pt>
                <c:pt idx="21">
                  <c:v>1.2751501710543301E-5</c:v>
                </c:pt>
                <c:pt idx="22">
                  <c:v>1.18142421947786E-5</c:v>
                </c:pt>
                <c:pt idx="23">
                  <c:v>1.0953539136092E-5</c:v>
                </c:pt>
                <c:pt idx="24">
                  <c:v>9.2458849286570996E-6</c:v>
                </c:pt>
                <c:pt idx="25">
                  <c:v>9.6907754082891002E-6</c:v>
                </c:pt>
              </c:numCache>
            </c:numRef>
          </c:val>
        </c:ser>
        <c:marker val="1"/>
        <c:axId val="154013696"/>
        <c:axId val="154015232"/>
      </c:lineChart>
      <c:catAx>
        <c:axId val="154013696"/>
        <c:scaling>
          <c:orientation val="minMax"/>
        </c:scaling>
        <c:axPos val="b"/>
        <c:numFmt formatCode="General" sourceLinked="1"/>
        <c:tickLblPos val="nextTo"/>
        <c:crossAx val="154015232"/>
        <c:crosses val="autoZero"/>
        <c:auto val="1"/>
        <c:lblAlgn val="ctr"/>
        <c:lblOffset val="100"/>
      </c:catAx>
      <c:valAx>
        <c:axId val="154015232"/>
        <c:scaling>
          <c:orientation val="minMax"/>
        </c:scaling>
        <c:axPos val="l"/>
        <c:majorGridlines/>
        <c:numFmt formatCode="0.000000000000_);[Red]\(0.000000000000\)" sourceLinked="1"/>
        <c:tickLblPos val="nextTo"/>
        <c:crossAx val="1540136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/>
          <a:lstStyle/>
          <a:p>
            <a:pPr>
              <a:defRPr/>
            </a:pPr>
            <a:r>
              <a:rPr lang="en-US" altLang="zh-TW"/>
              <a:t>RMSE</a:t>
            </a:r>
            <a:r>
              <a:rPr lang="en-US" altLang="zh-TW" baseline="0"/>
              <a:t> vs. Volatility</a:t>
            </a:r>
            <a:endParaRPr lang="zh-TW" alt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20805211526946785"/>
          <c:y val="0.19480351414406533"/>
          <c:w val="0.65015257312389996"/>
          <c:h val="0.54332713619130957"/>
        </c:manualLayout>
      </c:layout>
      <c:lineChart>
        <c:grouping val="standard"/>
        <c:ser>
          <c:idx val="0"/>
          <c:order val="0"/>
          <c:tx>
            <c:v>RMSE with 10% volatility</c:v>
          </c:tx>
          <c:cat>
            <c:numRef>
              <c:f>'stage vs. RMSE'!$A$3:$A$28</c:f>
              <c:numCache>
                <c:formatCode>General</c:formatCode>
                <c:ptCount val="2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</c:numCache>
            </c:numRef>
          </c:cat>
          <c:val>
            <c:numRef>
              <c:f>'stage vs. RMSE'!$B$3:$B$28</c:f>
              <c:numCache>
                <c:formatCode>0.000000000000_);[Red]\(0.000000000000\)</c:formatCode>
                <c:ptCount val="26"/>
                <c:pt idx="0">
                  <c:v>6.3671226540112704E-6</c:v>
                </c:pt>
                <c:pt idx="1">
                  <c:v>4.5602110683367505E-6</c:v>
                </c:pt>
                <c:pt idx="2">
                  <c:v>5.8209748656704304E-6</c:v>
                </c:pt>
                <c:pt idx="3">
                  <c:v>4.2251333388011399E-6</c:v>
                </c:pt>
                <c:pt idx="4">
                  <c:v>5.3951569801935003E-6</c:v>
                </c:pt>
                <c:pt idx="5">
                  <c:v>4.0027925012899206E-6</c:v>
                </c:pt>
                <c:pt idx="6">
                  <c:v>5.0586253185540001E-6</c:v>
                </c:pt>
                <c:pt idx="7">
                  <c:v>3.8593805615430904E-6</c:v>
                </c:pt>
                <c:pt idx="8">
                  <c:v>4.7901505769866398E-6</c:v>
                </c:pt>
                <c:pt idx="9">
                  <c:v>3.6449543812056006E-6</c:v>
                </c:pt>
                <c:pt idx="10">
                  <c:v>4.5752453915305406E-6</c:v>
                </c:pt>
                <c:pt idx="11">
                  <c:v>3.4321203303688007E-6</c:v>
                </c:pt>
                <c:pt idx="12">
                  <c:v>4.4038860988861206E-6</c:v>
                </c:pt>
                <c:pt idx="13">
                  <c:v>3.2705679933495505E-6</c:v>
                </c:pt>
                <c:pt idx="14">
                  <c:v>4.2689906269497202E-6</c:v>
                </c:pt>
                <c:pt idx="15">
                  <c:v>3.1476493253524706E-6</c:v>
                </c:pt>
                <c:pt idx="16">
                  <c:v>4.1654005455309208E-6</c:v>
                </c:pt>
                <c:pt idx="17">
                  <c:v>3.0544820161115501E-6</c:v>
                </c:pt>
                <c:pt idx="18">
                  <c:v>4.0892027570864197E-6</c:v>
                </c:pt>
                <c:pt idx="19">
                  <c:v>2.9848978818369302E-6</c:v>
                </c:pt>
                <c:pt idx="20">
                  <c:v>3.9569096218616708E-6</c:v>
                </c:pt>
                <c:pt idx="21">
                  <c:v>2.8377297870089405E-6</c:v>
                </c:pt>
                <c:pt idx="22">
                  <c:v>3.6535193161798306E-6</c:v>
                </c:pt>
                <c:pt idx="23">
                  <c:v>2.6907536438347902E-6</c:v>
                </c:pt>
                <c:pt idx="24">
                  <c:v>3.39358957386544E-6</c:v>
                </c:pt>
                <c:pt idx="25">
                  <c:v>2.5690186101798402E-6</c:v>
                </c:pt>
              </c:numCache>
            </c:numRef>
          </c:val>
        </c:ser>
        <c:ser>
          <c:idx val="1"/>
          <c:order val="1"/>
          <c:tx>
            <c:v>RMSE with 20% volatility</c:v>
          </c:tx>
          <c:cat>
            <c:numRef>
              <c:f>'stage vs. RMSE'!$A$3:$A$28</c:f>
              <c:numCache>
                <c:formatCode>General</c:formatCode>
                <c:ptCount val="2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</c:numCache>
            </c:numRef>
          </c:cat>
          <c:val>
            <c:numRef>
              <c:f>'stage vs. RMSE'!$B$31:$B$56</c:f>
              <c:numCache>
                <c:formatCode>0.000000000000_);[Red]\(0.000000000000\)</c:formatCode>
                <c:ptCount val="26"/>
                <c:pt idx="0">
                  <c:v>1.2004535510570601E-5</c:v>
                </c:pt>
                <c:pt idx="1">
                  <c:v>1.11316479348802E-5</c:v>
                </c:pt>
                <c:pt idx="2">
                  <c:v>1.01564220441864E-5</c:v>
                </c:pt>
                <c:pt idx="3">
                  <c:v>9.8687362144709998E-6</c:v>
                </c:pt>
                <c:pt idx="4">
                  <c:v>9.0015442442699012E-6</c:v>
                </c:pt>
                <c:pt idx="5">
                  <c:v>9.1289273406275003E-6</c:v>
                </c:pt>
                <c:pt idx="6">
                  <c:v>8.4096553118107007E-6</c:v>
                </c:pt>
                <c:pt idx="7">
                  <c:v>8.7949602580129004E-6</c:v>
                </c:pt>
                <c:pt idx="8">
                  <c:v>7.7013364201077001E-6</c:v>
                </c:pt>
                <c:pt idx="9">
                  <c:v>8.3399110789345002E-6</c:v>
                </c:pt>
                <c:pt idx="10">
                  <c:v>7.4862452871844E-6</c:v>
                </c:pt>
                <c:pt idx="11">
                  <c:v>8.0395913201208004E-6</c:v>
                </c:pt>
                <c:pt idx="12">
                  <c:v>7.0140971148063006E-6</c:v>
                </c:pt>
                <c:pt idx="13">
                  <c:v>7.6237419509459006E-6</c:v>
                </c:pt>
                <c:pt idx="14">
                  <c:v>6.2679617453498996E-6</c:v>
                </c:pt>
                <c:pt idx="15">
                  <c:v>7.4991520353710003E-6</c:v>
                </c:pt>
                <c:pt idx="16">
                  <c:v>5.8258877057017009E-6</c:v>
                </c:pt>
                <c:pt idx="17">
                  <c:v>7.5810194415164E-6</c:v>
                </c:pt>
                <c:pt idx="18">
                  <c:v>5.6074795802361004E-6</c:v>
                </c:pt>
                <c:pt idx="19">
                  <c:v>7.8144329344764005E-6</c:v>
                </c:pt>
                <c:pt idx="20">
                  <c:v>5.4045366066962006E-6</c:v>
                </c:pt>
                <c:pt idx="21">
                  <c:v>7.2303898448939004E-6</c:v>
                </c:pt>
                <c:pt idx="22">
                  <c:v>4.9549304137633002E-6</c:v>
                </c:pt>
                <c:pt idx="23">
                  <c:v>6.5738482965336006E-6</c:v>
                </c:pt>
                <c:pt idx="24">
                  <c:v>4.6830225818045004E-6</c:v>
                </c:pt>
                <c:pt idx="25">
                  <c:v>6.0911019588033003E-6</c:v>
                </c:pt>
              </c:numCache>
            </c:numRef>
          </c:val>
        </c:ser>
        <c:marker val="1"/>
        <c:axId val="154024576"/>
        <c:axId val="154038656"/>
      </c:lineChart>
      <c:catAx>
        <c:axId val="154024576"/>
        <c:scaling>
          <c:orientation val="minMax"/>
        </c:scaling>
        <c:axPos val="b"/>
        <c:numFmt formatCode="General" sourceLinked="1"/>
        <c:majorTickMark val="none"/>
        <c:tickLblPos val="nextTo"/>
        <c:crossAx val="154038656"/>
        <c:crosses val="autoZero"/>
        <c:auto val="1"/>
        <c:lblAlgn val="ctr"/>
        <c:lblOffset val="100"/>
      </c:catAx>
      <c:valAx>
        <c:axId val="154038656"/>
        <c:scaling>
          <c:orientation val="minMax"/>
        </c:scaling>
        <c:axPos val="l"/>
        <c:majorGridlines/>
        <c:numFmt formatCode="0.000000000000_);[Red]\(0.000000000000\)" sourceLinked="1"/>
        <c:majorTickMark val="none"/>
        <c:tickLblPos val="nextTo"/>
        <c:spPr>
          <a:ln w="9525">
            <a:noFill/>
          </a:ln>
        </c:spPr>
        <c:crossAx val="15402457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95250</xdr:colOff>
      <xdr:row>16</xdr:row>
      <xdr:rowOff>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18</xdr:row>
      <xdr:rowOff>9524</xdr:rowOff>
    </xdr:from>
    <xdr:to>
      <xdr:col>10</xdr:col>
      <xdr:colOff>676275</xdr:colOff>
      <xdr:row>32</xdr:row>
      <xdr:rowOff>209549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9524</xdr:colOff>
      <xdr:row>34</xdr:row>
      <xdr:rowOff>209549</xdr:rowOff>
    </xdr:from>
    <xdr:to>
      <xdr:col>10</xdr:col>
      <xdr:colOff>666749</xdr:colOff>
      <xdr:row>50</xdr:row>
      <xdr:rowOff>200024</xdr:rowOff>
    </xdr:to>
    <xdr:graphicFrame macro="">
      <xdr:nvGraphicFramePr>
        <xdr:cNvPr id="6" name="圖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0.84471</cdr:x>
      <cdr:y>0.88184</cdr:y>
    </cdr:from>
    <cdr:to>
      <cdr:x>0.96246</cdr:x>
      <cdr:y>0.97118</cdr:y>
    </cdr:to>
    <cdr:sp macro="" textlink="">
      <cdr:nvSpPr>
        <cdr:cNvPr id="3" name="文字方塊 2"/>
        <cdr:cNvSpPr txBox="1"/>
      </cdr:nvSpPr>
      <cdr:spPr>
        <a:xfrm xmlns:a="http://schemas.openxmlformats.org/drawingml/2006/main">
          <a:off x="4714875" y="2771857"/>
          <a:ext cx="657225" cy="280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0.85889</cdr:x>
      <cdr:y>0.8845</cdr:y>
    </cdr:from>
    <cdr:to>
      <cdr:x>0.95993</cdr:x>
      <cdr:y>0.96961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4695825" y="2771775"/>
          <a:ext cx="552450" cy="26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0.86213</cdr:x>
      <cdr:y>0.89174</cdr:y>
    </cdr:from>
    <cdr:to>
      <cdr:x>0.96859</cdr:x>
      <cdr:y>0.9943</cdr:y>
    </cdr:to>
    <cdr:sp macro="" textlink="">
      <cdr:nvSpPr>
        <cdr:cNvPr id="3" name="文字方塊 2"/>
        <cdr:cNvSpPr txBox="1"/>
      </cdr:nvSpPr>
      <cdr:spPr>
        <a:xfrm xmlns:a="http://schemas.openxmlformats.org/drawingml/2006/main">
          <a:off x="4705351" y="2981326"/>
          <a:ext cx="5810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0</xdr:row>
      <xdr:rowOff>209549</xdr:rowOff>
    </xdr:from>
    <xdr:to>
      <xdr:col>10</xdr:col>
      <xdr:colOff>676275</xdr:colOff>
      <xdr:row>16</xdr:row>
      <xdr:rowOff>200025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685799</xdr:colOff>
      <xdr:row>17</xdr:row>
      <xdr:rowOff>209549</xdr:rowOff>
    </xdr:from>
    <xdr:to>
      <xdr:col>10</xdr:col>
      <xdr:colOff>676275</xdr:colOff>
      <xdr:row>34</xdr:row>
      <xdr:rowOff>9525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676275</xdr:colOff>
      <xdr:row>35</xdr:row>
      <xdr:rowOff>9525</xdr:rowOff>
    </xdr:from>
    <xdr:to>
      <xdr:col>10</xdr:col>
      <xdr:colOff>676275</xdr:colOff>
      <xdr:row>50</xdr:row>
      <xdr:rowOff>200025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47624</xdr:colOff>
      <xdr:row>51</xdr:row>
      <xdr:rowOff>190499</xdr:rowOff>
    </xdr:from>
    <xdr:to>
      <xdr:col>14</xdr:col>
      <xdr:colOff>485775</xdr:colOff>
      <xdr:row>69</xdr:row>
      <xdr:rowOff>180975</xdr:rowOff>
    </xdr:to>
    <xdr:graphicFrame macro="">
      <xdr:nvGraphicFramePr>
        <xdr:cNvPr id="8" name="圖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342899</xdr:colOff>
      <xdr:row>67</xdr:row>
      <xdr:rowOff>171450</xdr:rowOff>
    </xdr:from>
    <xdr:to>
      <xdr:col>11</xdr:col>
      <xdr:colOff>485774</xdr:colOff>
      <xdr:row>68</xdr:row>
      <xdr:rowOff>200025</xdr:rowOff>
    </xdr:to>
    <xdr:sp macro="" textlink="">
      <xdr:nvSpPr>
        <xdr:cNvPr id="6" name="文字方塊 5"/>
        <xdr:cNvSpPr txBox="1"/>
      </xdr:nvSpPr>
      <xdr:spPr>
        <a:xfrm>
          <a:off x="9248774" y="14239875"/>
          <a:ext cx="8286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altLang="zh-TW" sz="1200">
              <a:latin typeface="Times New Roman" pitchFamily="18" charset="0"/>
              <a:cs typeface="Times New Roman" pitchFamily="18" charset="0"/>
            </a:rPr>
            <a:t>volatility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1085849</xdr:colOff>
      <xdr:row>78</xdr:row>
      <xdr:rowOff>104775</xdr:rowOff>
    </xdr:from>
    <xdr:to>
      <xdr:col>9</xdr:col>
      <xdr:colOff>200025</xdr:colOff>
      <xdr:row>96</xdr:row>
      <xdr:rowOff>123825</xdr:rowOff>
    </xdr:to>
    <xdr:graphicFrame macro="">
      <xdr:nvGraphicFramePr>
        <xdr:cNvPr id="7" name="圖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1409699</xdr:colOff>
      <xdr:row>58</xdr:row>
      <xdr:rowOff>47624</xdr:rowOff>
    </xdr:from>
    <xdr:to>
      <xdr:col>9</xdr:col>
      <xdr:colOff>533400</xdr:colOff>
      <xdr:row>78</xdr:row>
      <xdr:rowOff>85724</xdr:rowOff>
    </xdr:to>
    <xdr:graphicFrame macro="">
      <xdr:nvGraphicFramePr>
        <xdr:cNvPr id="10" name="圖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0.86104</cdr:x>
      <cdr:y>0.87437</cdr:y>
    </cdr:from>
    <cdr:to>
      <cdr:x>0.97013</cdr:x>
      <cdr:y>0.95729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6315076" y="3314700"/>
          <a:ext cx="8001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volatility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76200</xdr:rowOff>
    </xdr:from>
    <xdr:to>
      <xdr:col>9</xdr:col>
      <xdr:colOff>647699</xdr:colOff>
      <xdr:row>18</xdr:row>
      <xdr:rowOff>200024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83</xdr:row>
      <xdr:rowOff>0</xdr:rowOff>
    </xdr:from>
    <xdr:to>
      <xdr:col>10</xdr:col>
      <xdr:colOff>238125</xdr:colOff>
      <xdr:row>99</xdr:row>
      <xdr:rowOff>190500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28</xdr:row>
      <xdr:rowOff>9525</xdr:rowOff>
    </xdr:from>
    <xdr:to>
      <xdr:col>10</xdr:col>
      <xdr:colOff>0</xdr:colOff>
      <xdr:row>46</xdr:row>
      <xdr:rowOff>9525</xdr:rowOff>
    </xdr:to>
    <xdr:graphicFrame macro="">
      <xdr:nvGraphicFramePr>
        <xdr:cNvPr id="13" name="圖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9524</xdr:colOff>
      <xdr:row>55</xdr:row>
      <xdr:rowOff>209549</xdr:rowOff>
    </xdr:from>
    <xdr:to>
      <xdr:col>9</xdr:col>
      <xdr:colOff>685799</xdr:colOff>
      <xdr:row>74</xdr:row>
      <xdr:rowOff>9524</xdr:rowOff>
    </xdr:to>
    <xdr:graphicFrame macro="">
      <xdr:nvGraphicFramePr>
        <xdr:cNvPr id="14" name="圖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266699</xdr:colOff>
      <xdr:row>17</xdr:row>
      <xdr:rowOff>85725</xdr:rowOff>
    </xdr:from>
    <xdr:to>
      <xdr:col>12</xdr:col>
      <xdr:colOff>333374</xdr:colOff>
      <xdr:row>30</xdr:row>
      <xdr:rowOff>104775</xdr:rowOff>
    </xdr:to>
    <xdr:graphicFrame macro="">
      <xdr:nvGraphicFramePr>
        <xdr:cNvPr id="6" name="圖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0.89043</cdr:x>
      <cdr:y>0.89812</cdr:y>
    </cdr:from>
    <cdr:to>
      <cdr:x>0.98435</cdr:x>
      <cdr:y>0.95442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4876801" y="3190876"/>
          <a:ext cx="51435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0.00446</cdr:x>
      <cdr:y>0.00688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0.88153</cdr:x>
      <cdr:y>0.90152</cdr:y>
    </cdr:from>
    <cdr:to>
      <cdr:x>0.98258</cdr:x>
      <cdr:y>0.97475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4819650" y="3400425"/>
          <a:ext cx="5524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0.89043</cdr:x>
      <cdr:y>0.90176</cdr:y>
    </cdr:from>
    <cdr:to>
      <cdr:x>0.98435</cdr:x>
      <cdr:y>0.96474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4876800" y="3409951"/>
          <a:ext cx="51435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2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2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0.85592</cdr:x>
      <cdr:y>0.75</cdr:y>
    </cdr:from>
    <cdr:to>
      <cdr:x>0.97427</cdr:x>
      <cdr:y>0.85069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4752976" y="2057400"/>
          <a:ext cx="6572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altLang="zh-TW" sz="1800">
              <a:latin typeface="Times New Roman" pitchFamily="18" charset="0"/>
              <a:cs typeface="Times New Roman" pitchFamily="18" charset="0"/>
            </a:rPr>
            <a:t>stage</a:t>
          </a:r>
          <a:endParaRPr lang="zh-TW" altLang="en-US" sz="18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opLeftCell="A31" workbookViewId="0">
      <selection activeCell="C16" sqref="C16"/>
    </sheetView>
  </sheetViews>
  <sheetFormatPr defaultRowHeight="16.5"/>
  <cols>
    <col min="2" max="2" width="15.125" bestFit="1" customWidth="1"/>
  </cols>
  <sheetData>
    <row r="1" spans="1:2" ht="17.25" thickBot="1">
      <c r="A1" s="13"/>
      <c r="B1" s="13"/>
    </row>
    <row r="2" spans="1:2" ht="17.25" thickBot="1">
      <c r="A2" s="7" t="s">
        <v>1</v>
      </c>
      <c r="B2" s="7" t="s">
        <v>0</v>
      </c>
    </row>
    <row r="3" spans="1:2">
      <c r="A3" s="1">
        <v>2</v>
      </c>
      <c r="B3" s="2">
        <v>5.8140743245081897E-5</v>
      </c>
    </row>
    <row r="4" spans="1:2">
      <c r="A4" s="1">
        <v>5</v>
      </c>
      <c r="B4" s="2">
        <v>3.3761280288726403E-5</v>
      </c>
    </row>
    <row r="5" spans="1:2">
      <c r="A5" s="1">
        <v>8</v>
      </c>
      <c r="B5" s="2">
        <v>1.45478204482348E-5</v>
      </c>
    </row>
    <row r="6" spans="1:2">
      <c r="A6" s="1">
        <v>11</v>
      </c>
      <c r="B6" s="2">
        <v>1.45081133337098E-5</v>
      </c>
    </row>
    <row r="7" spans="1:2">
      <c r="A7" s="1">
        <v>14</v>
      </c>
      <c r="B7" s="2">
        <v>8.1842224836598402E-6</v>
      </c>
    </row>
    <row r="8" spans="1:2">
      <c r="A8" s="1">
        <v>17</v>
      </c>
      <c r="B8" s="2">
        <v>9.6085163754799392E-6</v>
      </c>
    </row>
    <row r="9" spans="1:2">
      <c r="A9" s="1">
        <v>20</v>
      </c>
      <c r="B9" s="2">
        <v>5.8809547189820699E-6</v>
      </c>
    </row>
    <row r="10" spans="1:2">
      <c r="A10" s="1">
        <v>25</v>
      </c>
      <c r="B10" s="2">
        <v>6.3671226540112603E-6</v>
      </c>
    </row>
    <row r="11" spans="1:2">
      <c r="A11" s="1">
        <v>30</v>
      </c>
      <c r="B11" s="2">
        <v>4.0027925012899197E-6</v>
      </c>
    </row>
    <row r="12" spans="1:2">
      <c r="A12" s="1">
        <v>40</v>
      </c>
      <c r="B12" s="2">
        <v>3.1476493253524701E-6</v>
      </c>
    </row>
    <row r="13" spans="1:2" ht="17.25" thickBot="1">
      <c r="A13" s="8">
        <v>50</v>
      </c>
      <c r="B13" s="28">
        <v>2.5690186101798402E-6</v>
      </c>
    </row>
    <row r="14" spans="1:2">
      <c r="A14" s="35" t="s">
        <v>2</v>
      </c>
      <c r="B14" s="35"/>
    </row>
    <row r="15" spans="1:2">
      <c r="A15" s="36" t="s">
        <v>3</v>
      </c>
      <c r="B15" s="36"/>
    </row>
    <row r="16" spans="1:2">
      <c r="A16" s="36" t="s">
        <v>4</v>
      </c>
      <c r="B16" s="36"/>
    </row>
    <row r="17" spans="1:2" ht="17.25" thickBot="1">
      <c r="A17" s="37" t="s">
        <v>5</v>
      </c>
      <c r="B17" s="38"/>
    </row>
    <row r="18" spans="1:2" ht="18" thickTop="1" thickBot="1">
      <c r="A18" s="18"/>
      <c r="B18" s="18"/>
    </row>
    <row r="19" spans="1:2" ht="17.25" thickBot="1">
      <c r="A19" s="7" t="s">
        <v>1</v>
      </c>
      <c r="B19" s="7" t="s">
        <v>0</v>
      </c>
    </row>
    <row r="20" spans="1:2">
      <c r="A20" s="1">
        <v>2</v>
      </c>
      <c r="B20" s="2">
        <v>1.03405499843616E-4</v>
      </c>
    </row>
    <row r="21" spans="1:2">
      <c r="A21" s="1">
        <v>5</v>
      </c>
      <c r="B21" s="2">
        <v>6.1020939564407398E-5</v>
      </c>
    </row>
    <row r="22" spans="1:2">
      <c r="A22" s="1">
        <v>8</v>
      </c>
      <c r="B22" s="2">
        <v>2.8921601900743602E-5</v>
      </c>
    </row>
    <row r="23" spans="1:2">
      <c r="A23" s="1">
        <v>11</v>
      </c>
      <c r="B23" s="2">
        <v>3.1640421005436298E-5</v>
      </c>
    </row>
    <row r="24" spans="1:2">
      <c r="A24" s="1">
        <v>14</v>
      </c>
      <c r="B24" s="2">
        <v>1.7431898208529001E-5</v>
      </c>
    </row>
    <row r="25" spans="1:2">
      <c r="A25" s="1">
        <v>17</v>
      </c>
      <c r="B25" s="2">
        <v>1.6727247003503101E-5</v>
      </c>
    </row>
    <row r="26" spans="1:2">
      <c r="A26" s="1">
        <v>20</v>
      </c>
      <c r="B26" s="2">
        <v>1.30473327222247E-5</v>
      </c>
    </row>
    <row r="27" spans="1:2">
      <c r="A27" s="1">
        <v>25</v>
      </c>
      <c r="B27" s="2">
        <v>1.2004535510570601E-5</v>
      </c>
    </row>
    <row r="28" spans="1:2">
      <c r="A28" s="1">
        <v>30</v>
      </c>
      <c r="B28" s="2">
        <v>9.1289273406274901E-6</v>
      </c>
    </row>
    <row r="29" spans="1:2">
      <c r="A29" s="1">
        <v>40</v>
      </c>
      <c r="B29" s="2">
        <v>7.4991520353709698E-6</v>
      </c>
    </row>
    <row r="30" spans="1:2" ht="17.25" thickBot="1">
      <c r="A30" s="8">
        <v>50</v>
      </c>
      <c r="B30" s="28">
        <v>6.0911019588032902E-6</v>
      </c>
    </row>
    <row r="31" spans="1:2">
      <c r="A31" s="35" t="s">
        <v>2</v>
      </c>
      <c r="B31" s="35"/>
    </row>
    <row r="32" spans="1:2">
      <c r="A32" s="36" t="s">
        <v>17</v>
      </c>
      <c r="B32" s="36"/>
    </row>
    <row r="33" spans="1:2">
      <c r="A33" s="36" t="s">
        <v>4</v>
      </c>
      <c r="B33" s="36"/>
    </row>
    <row r="34" spans="1:2" ht="17.25" thickBot="1">
      <c r="A34" s="37" t="s">
        <v>5</v>
      </c>
      <c r="B34" s="38"/>
    </row>
    <row r="35" spans="1:2" ht="18" thickTop="1" thickBot="1">
      <c r="A35" s="18"/>
      <c r="B35" s="18"/>
    </row>
    <row r="36" spans="1:2" ht="17.25" thickBot="1">
      <c r="A36" s="8" t="s">
        <v>1</v>
      </c>
      <c r="B36" s="8" t="s">
        <v>0</v>
      </c>
    </row>
    <row r="37" spans="1:2">
      <c r="A37" s="1">
        <v>2</v>
      </c>
      <c r="B37" s="2">
        <v>1.47234470280764E-4</v>
      </c>
    </row>
    <row r="38" spans="1:2">
      <c r="A38" s="1">
        <v>5</v>
      </c>
      <c r="B38" s="2">
        <v>1.01512654646645E-4</v>
      </c>
    </row>
    <row r="39" spans="1:2">
      <c r="A39" s="1">
        <v>8</v>
      </c>
      <c r="B39" s="2">
        <v>4.4560708116829103E-5</v>
      </c>
    </row>
    <row r="40" spans="1:2">
      <c r="A40" s="1">
        <v>11</v>
      </c>
      <c r="B40" s="2">
        <v>3.8226930151057403E-5</v>
      </c>
    </row>
    <row r="41" spans="1:2">
      <c r="A41" s="1">
        <v>14</v>
      </c>
      <c r="B41" s="2">
        <v>2.7861626676233401E-5</v>
      </c>
    </row>
    <row r="42" spans="1:2">
      <c r="A42" s="1">
        <v>17</v>
      </c>
      <c r="B42" s="2">
        <v>2.0225878315213501E-5</v>
      </c>
    </row>
    <row r="43" spans="1:2">
      <c r="A43" s="1">
        <v>20</v>
      </c>
      <c r="B43" s="2">
        <v>2.4982576676894201E-5</v>
      </c>
    </row>
    <row r="44" spans="1:2">
      <c r="A44" s="1">
        <v>25</v>
      </c>
      <c r="B44" s="2">
        <v>1.2404664276919101E-5</v>
      </c>
    </row>
    <row r="45" spans="1:2">
      <c r="A45" s="1">
        <v>30</v>
      </c>
      <c r="B45" s="2">
        <v>1.4503847472048401E-5</v>
      </c>
    </row>
    <row r="46" spans="1:2">
      <c r="A46" s="1">
        <v>40</v>
      </c>
      <c r="B46" s="2">
        <v>1.2485353368469201E-5</v>
      </c>
    </row>
    <row r="47" spans="1:2" ht="17.25" thickBot="1">
      <c r="A47" s="8">
        <v>50</v>
      </c>
      <c r="B47" s="28">
        <v>9.6907754082891307E-6</v>
      </c>
    </row>
    <row r="48" spans="1:2">
      <c r="A48" s="36" t="s">
        <v>2</v>
      </c>
      <c r="B48" s="36"/>
    </row>
    <row r="49" spans="1:2">
      <c r="A49" s="36" t="s">
        <v>19</v>
      </c>
      <c r="B49" s="36"/>
    </row>
    <row r="50" spans="1:2">
      <c r="A50" s="36" t="s">
        <v>4</v>
      </c>
      <c r="B50" s="36"/>
    </row>
    <row r="51" spans="1:2" ht="17.25" thickBot="1">
      <c r="A51" s="37" t="s">
        <v>5</v>
      </c>
      <c r="B51" s="38"/>
    </row>
    <row r="52" spans="1:2" ht="17.25" thickTop="1"/>
  </sheetData>
  <mergeCells count="12">
    <mergeCell ref="A51:B51"/>
    <mergeCell ref="A32:B32"/>
    <mergeCell ref="A33:B33"/>
    <mergeCell ref="A34:B34"/>
    <mergeCell ref="A48:B48"/>
    <mergeCell ref="A49:B49"/>
    <mergeCell ref="A50:B50"/>
    <mergeCell ref="A14:B14"/>
    <mergeCell ref="A15:B15"/>
    <mergeCell ref="A16:B16"/>
    <mergeCell ref="A17:B17"/>
    <mergeCell ref="A31:B3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tabSelected="1" topLeftCell="A75" zoomScaleNormal="100" workbookViewId="0">
      <selection activeCell="B54" sqref="B54"/>
    </sheetView>
  </sheetViews>
  <sheetFormatPr defaultRowHeight="16.5"/>
  <cols>
    <col min="1" max="1" width="14.5" customWidth="1"/>
    <col min="2" max="2" width="23.75" customWidth="1"/>
    <col min="3" max="3" width="15.625" customWidth="1"/>
  </cols>
  <sheetData>
    <row r="1" spans="1:4">
      <c r="A1" s="39" t="s">
        <v>6</v>
      </c>
      <c r="B1" s="40"/>
      <c r="C1" s="5"/>
      <c r="D1" s="5"/>
    </row>
    <row r="2" spans="1:4">
      <c r="A2" s="1" t="s">
        <v>1</v>
      </c>
      <c r="B2" s="1" t="s">
        <v>8</v>
      </c>
    </row>
    <row r="3" spans="1:4">
      <c r="A3" s="1">
        <v>2</v>
      </c>
      <c r="B3" s="3">
        <v>2.2687450203619998E-3</v>
      </c>
    </row>
    <row r="4" spans="1:4">
      <c r="A4" s="1">
        <v>5</v>
      </c>
      <c r="B4" s="3">
        <v>2.3241788944109998E-3</v>
      </c>
    </row>
    <row r="5" spans="1:4">
      <c r="A5" s="1">
        <v>8</v>
      </c>
      <c r="B5" s="3">
        <v>2.335182068757E-3</v>
      </c>
    </row>
    <row r="6" spans="1:4">
      <c r="A6" s="1">
        <v>11</v>
      </c>
      <c r="B6" s="3">
        <v>2.3391207392239998E-3</v>
      </c>
    </row>
    <row r="7" spans="1:4">
      <c r="A7" s="1">
        <v>14</v>
      </c>
      <c r="B7" s="3">
        <v>2.3408543665470001E-3</v>
      </c>
    </row>
    <row r="8" spans="1:4">
      <c r="A8" s="1">
        <v>17</v>
      </c>
      <c r="B8" s="3">
        <v>2.3416802636309999E-3</v>
      </c>
    </row>
    <row r="9" spans="1:4">
      <c r="A9" s="1">
        <v>20</v>
      </c>
      <c r="B9" s="3">
        <v>2.3420707882030002E-3</v>
      </c>
    </row>
    <row r="10" spans="1:4">
      <c r="A10" s="1">
        <v>25</v>
      </c>
      <c r="B10" s="3">
        <v>2.342263684979E-3</v>
      </c>
    </row>
    <row r="11" spans="1:4">
      <c r="A11" s="1">
        <v>30</v>
      </c>
      <c r="B11" s="3">
        <v>2.3421964821970002E-3</v>
      </c>
    </row>
    <row r="12" spans="1:4">
      <c r="A12" s="1">
        <v>40</v>
      </c>
      <c r="B12" s="3">
        <v>2.3418017554700001E-3</v>
      </c>
    </row>
    <row r="13" spans="1:4">
      <c r="A13" s="1">
        <v>50</v>
      </c>
      <c r="B13" s="3">
        <v>2.3413310065910002E-3</v>
      </c>
    </row>
    <row r="15" spans="1:4">
      <c r="A15" s="39" t="s">
        <v>7</v>
      </c>
      <c r="B15" s="40"/>
    </row>
    <row r="16" spans="1:4">
      <c r="A16" s="1" t="s">
        <v>1</v>
      </c>
      <c r="B16" s="1" t="s">
        <v>8</v>
      </c>
    </row>
    <row r="17" spans="1:2">
      <c r="A17" s="1">
        <v>2</v>
      </c>
      <c r="B17" s="3">
        <v>4.6718023752980002E-3</v>
      </c>
    </row>
    <row r="18" spans="1:2">
      <c r="A18" s="1">
        <v>5</v>
      </c>
      <c r="B18" s="3">
        <v>4.7304356656919996E-3</v>
      </c>
    </row>
    <row r="19" spans="1:2">
      <c r="A19" s="1">
        <v>8</v>
      </c>
      <c r="B19" s="3">
        <v>4.7323506687389997E-3</v>
      </c>
    </row>
    <row r="20" spans="1:2">
      <c r="A20" s="1">
        <v>11</v>
      </c>
      <c r="B20" s="3">
        <v>4.7288545664319996E-3</v>
      </c>
    </row>
    <row r="21" spans="1:2">
      <c r="A21" s="1">
        <v>14</v>
      </c>
      <c r="B21" s="3">
        <v>4.7247701588960002E-3</v>
      </c>
    </row>
    <row r="22" spans="1:2">
      <c r="A22" s="1">
        <v>17</v>
      </c>
      <c r="B22" s="3">
        <v>4.7209422352259998E-3</v>
      </c>
    </row>
    <row r="23" spans="1:2">
      <c r="A23" s="1">
        <v>20</v>
      </c>
      <c r="B23" s="3">
        <v>4.7175142660009998E-3</v>
      </c>
    </row>
    <row r="24" spans="1:2">
      <c r="A24" s="1">
        <v>25</v>
      </c>
      <c r="B24" s="3">
        <v>4.7126358704599998E-3</v>
      </c>
    </row>
    <row r="25" spans="1:2">
      <c r="A25" s="1">
        <v>30</v>
      </c>
      <c r="B25" s="3">
        <v>4.7086062309900003E-3</v>
      </c>
    </row>
    <row r="26" spans="1:2">
      <c r="A26" s="1">
        <v>40</v>
      </c>
      <c r="B26" s="3">
        <v>4.702337714194E-3</v>
      </c>
    </row>
    <row r="27" spans="1:2">
      <c r="A27" s="1">
        <v>50</v>
      </c>
      <c r="B27" s="3">
        <v>4.697650706458E-3</v>
      </c>
    </row>
    <row r="34" spans="1:2">
      <c r="A34" s="39" t="s">
        <v>20</v>
      </c>
      <c r="B34" s="40"/>
    </row>
    <row r="35" spans="1:2">
      <c r="A35" s="1" t="s">
        <v>1</v>
      </c>
      <c r="B35" s="1" t="s">
        <v>8</v>
      </c>
    </row>
    <row r="36" spans="1:2">
      <c r="A36" s="1">
        <v>2</v>
      </c>
      <c r="B36" s="25">
        <v>7.1459848113990003E-3</v>
      </c>
    </row>
    <row r="37" spans="1:2">
      <c r="A37" s="1">
        <v>5</v>
      </c>
      <c r="B37" s="25">
        <v>7.1599909328309997E-3</v>
      </c>
    </row>
    <row r="38" spans="1:2">
      <c r="A38" s="1">
        <v>8</v>
      </c>
      <c r="B38" s="25">
        <v>7.1342696404580004E-3</v>
      </c>
    </row>
    <row r="39" spans="1:2">
      <c r="A39" s="1">
        <v>11</v>
      </c>
      <c r="B39" s="25">
        <v>7.1128238016609996E-3</v>
      </c>
    </row>
    <row r="40" spans="1:2">
      <c r="A40" s="1">
        <v>14</v>
      </c>
      <c r="B40" s="25">
        <v>7.0959371215010003E-3</v>
      </c>
    </row>
    <row r="41" spans="1:2">
      <c r="A41" s="1">
        <v>17</v>
      </c>
      <c r="B41" s="25">
        <v>7.0823871280189998E-3</v>
      </c>
    </row>
    <row r="42" spans="1:2">
      <c r="A42" s="1">
        <v>20</v>
      </c>
      <c r="B42" s="25">
        <v>7.0712479439839996E-3</v>
      </c>
    </row>
    <row r="43" spans="1:2">
      <c r="A43" s="1">
        <v>25</v>
      </c>
      <c r="B43" s="25">
        <v>7.0564303741629999E-3</v>
      </c>
    </row>
    <row r="44" spans="1:2">
      <c r="A44" s="1">
        <v>30</v>
      </c>
      <c r="B44" s="25">
        <v>7.0448370877699996E-3</v>
      </c>
    </row>
    <row r="45" spans="1:2">
      <c r="A45" s="1">
        <v>40</v>
      </c>
      <c r="B45" s="25">
        <v>7.0276308238929998E-3</v>
      </c>
    </row>
    <row r="46" spans="1:2">
      <c r="A46" s="1">
        <v>50</v>
      </c>
      <c r="B46" s="25">
        <v>7.0316634778700001E-3</v>
      </c>
    </row>
    <row r="51" spans="1:4" ht="17.25" thickBot="1">
      <c r="A51" s="13"/>
      <c r="B51" s="13"/>
    </row>
    <row r="52" spans="1:4" ht="17.25" thickBot="1">
      <c r="A52" s="41" t="s">
        <v>28</v>
      </c>
      <c r="B52" s="42"/>
    </row>
    <row r="53" spans="1:4" ht="17.25" thickBot="1">
      <c r="A53" s="7" t="s">
        <v>27</v>
      </c>
      <c r="B53" s="7" t="s">
        <v>29</v>
      </c>
    </row>
    <row r="54" spans="1:4">
      <c r="A54" s="31">
        <v>0.1</v>
      </c>
      <c r="B54" s="32">
        <v>2.342263684979E-3</v>
      </c>
      <c r="C54" s="3">
        <v>2.342263684979E-3</v>
      </c>
      <c r="D54">
        <v>2.342263684979E-3</v>
      </c>
    </row>
    <row r="55" spans="1:4">
      <c r="A55" s="31">
        <v>0.11</v>
      </c>
      <c r="B55" s="32">
        <v>2.5789654540249998E-3</v>
      </c>
    </row>
    <row r="56" spans="1:4">
      <c r="A56" s="31">
        <v>0.12</v>
      </c>
      <c r="B56" s="32">
        <v>2.8158897956199998E-3</v>
      </c>
    </row>
    <row r="57" spans="1:4">
      <c r="A57" s="31">
        <v>0.13</v>
      </c>
      <c r="B57" s="32">
        <v>3.052980629918E-3</v>
      </c>
    </row>
    <row r="58" spans="1:4">
      <c r="A58" s="31">
        <v>0.14000000000000001</v>
      </c>
      <c r="B58" s="32">
        <v>3.2901821779220001E-3</v>
      </c>
    </row>
    <row r="59" spans="1:4">
      <c r="A59" s="31">
        <v>0.15</v>
      </c>
      <c r="B59" s="32">
        <v>3.527438981811E-3</v>
      </c>
    </row>
    <row r="60" spans="1:4">
      <c r="A60" s="31">
        <v>0.16</v>
      </c>
      <c r="B60" s="32">
        <v>3.764695925331E-3</v>
      </c>
    </row>
    <row r="61" spans="1:4">
      <c r="A61" s="31">
        <v>0.17</v>
      </c>
      <c r="B61" s="32">
        <v>4.00189825424E-3</v>
      </c>
    </row>
    <row r="62" spans="1:4">
      <c r="A62" s="31">
        <v>0.18</v>
      </c>
      <c r="B62" s="32">
        <v>4.2389915967520004E-3</v>
      </c>
    </row>
    <row r="63" spans="1:4">
      <c r="A63" s="31">
        <v>0.19</v>
      </c>
      <c r="B63" s="32">
        <v>4.4759219840000003E-3</v>
      </c>
    </row>
    <row r="64" spans="1:4">
      <c r="A64" s="31">
        <v>0.2</v>
      </c>
      <c r="B64" s="32">
        <v>4.7126358704599998E-3</v>
      </c>
      <c r="C64" s="3">
        <v>4.7126358704599998E-3</v>
      </c>
    </row>
    <row r="65" spans="1:3">
      <c r="A65" s="31">
        <v>0.21</v>
      </c>
      <c r="B65" s="32">
        <v>4.9490801543330002E-3</v>
      </c>
    </row>
    <row r="66" spans="1:3">
      <c r="A66" s="31">
        <v>0.22</v>
      </c>
      <c r="B66" s="32">
        <v>5.1852021978530003E-3</v>
      </c>
    </row>
    <row r="67" spans="1:3">
      <c r="A67" s="31">
        <v>0.23</v>
      </c>
      <c r="B67" s="32">
        <v>5.4209498475000003E-3</v>
      </c>
    </row>
    <row r="68" spans="1:3">
      <c r="A68" s="31">
        <v>0.24</v>
      </c>
      <c r="B68" s="32">
        <v>5.6562714540999998E-3</v>
      </c>
    </row>
    <row r="69" spans="1:3">
      <c r="A69" s="31">
        <v>0.25</v>
      </c>
      <c r="B69" s="32">
        <v>5.8911158927730002E-3</v>
      </c>
    </row>
    <row r="70" spans="1:3">
      <c r="A70" s="31">
        <v>0.26</v>
      </c>
      <c r="B70" s="32">
        <v>6.1254325827299998E-3</v>
      </c>
    </row>
    <row r="71" spans="1:3">
      <c r="A71" s="31">
        <v>0.27</v>
      </c>
      <c r="B71" s="32">
        <v>6.359171506867E-3</v>
      </c>
    </row>
    <row r="72" spans="1:3">
      <c r="A72" s="31">
        <v>0.28000000000000003</v>
      </c>
      <c r="B72" s="32">
        <v>6.5922832311589999E-3</v>
      </c>
    </row>
    <row r="73" spans="1:3">
      <c r="A73" s="31">
        <v>0.28999999999999998</v>
      </c>
      <c r="B73" s="32">
        <v>6.8247189238119996E-3</v>
      </c>
    </row>
    <row r="74" spans="1:3" ht="17.25" thickBot="1">
      <c r="A74" s="33">
        <v>0.3</v>
      </c>
      <c r="B74" s="34">
        <v>7.0564303741629999E-3</v>
      </c>
      <c r="C74" s="25">
        <v>7.0564303741629999E-3</v>
      </c>
    </row>
  </sheetData>
  <mergeCells count="4">
    <mergeCell ref="A1:B1"/>
    <mergeCell ref="A15:B15"/>
    <mergeCell ref="A34:B34"/>
    <mergeCell ref="A52:B5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topLeftCell="A28" zoomScaleNormal="100" workbookViewId="0">
      <selection activeCell="A34" sqref="A34:E47"/>
    </sheetView>
  </sheetViews>
  <sheetFormatPr defaultRowHeight="16.5"/>
  <cols>
    <col min="1" max="1" width="9.125" customWidth="1"/>
    <col min="2" max="4" width="13.625" customWidth="1"/>
    <col min="5" max="5" width="17.875" customWidth="1"/>
    <col min="6" max="6" width="4.75" customWidth="1"/>
    <col min="7" max="7" width="9.125" customWidth="1"/>
    <col min="8" max="10" width="13.625" customWidth="1"/>
    <col min="11" max="11" width="18.125" customWidth="1"/>
  </cols>
  <sheetData>
    <row r="1" spans="1:11" ht="17.25" thickBot="1">
      <c r="E1" s="13"/>
      <c r="K1" s="13"/>
    </row>
    <row r="2" spans="1:11" ht="17.25" thickBot="1">
      <c r="A2" s="7" t="s">
        <v>9</v>
      </c>
      <c r="B2" s="7" t="s">
        <v>10</v>
      </c>
      <c r="C2" s="7" t="s">
        <v>11</v>
      </c>
      <c r="D2" s="7" t="s">
        <v>12</v>
      </c>
      <c r="E2" s="8" t="s">
        <v>15</v>
      </c>
      <c r="G2" s="7" t="s">
        <v>9</v>
      </c>
      <c r="H2" s="7" t="s">
        <v>10</v>
      </c>
      <c r="I2" s="7" t="s">
        <v>11</v>
      </c>
      <c r="J2" s="7" t="s">
        <v>12</v>
      </c>
      <c r="K2" s="8" t="s">
        <v>15</v>
      </c>
    </row>
    <row r="3" spans="1:11">
      <c r="A3" s="1">
        <v>1</v>
      </c>
      <c r="B3" s="3">
        <v>1.8085084660659999E-3</v>
      </c>
      <c r="C3" s="3">
        <v>1.809940485374E-3</v>
      </c>
      <c r="D3" s="3">
        <f>C3-B3</f>
        <v>1.432019308000073E-6</v>
      </c>
      <c r="E3" s="3">
        <v>7.9182339218347997E-2</v>
      </c>
      <c r="F3" s="3"/>
      <c r="G3" s="26">
        <v>1</v>
      </c>
      <c r="H3" s="3">
        <v>1.8085084660659999E-3</v>
      </c>
      <c r="I3" s="3">
        <v>1.82427806246E-3</v>
      </c>
      <c r="J3" s="3">
        <f>I3-H3</f>
        <v>1.5769596394000053E-5</v>
      </c>
      <c r="K3" s="3">
        <v>0.87196696562170095</v>
      </c>
    </row>
    <row r="4" spans="1:11">
      <c r="A4" s="1">
        <v>2</v>
      </c>
      <c r="B4" s="3">
        <v>2.4348116962319998E-3</v>
      </c>
      <c r="C4" s="3">
        <v>2.4397801940470002E-3</v>
      </c>
      <c r="D4" s="3">
        <f t="shared" ref="D4:D12" si="0">C4-B4</f>
        <v>4.9684978150003195E-6</v>
      </c>
      <c r="E4" s="3">
        <v>0.20406086524277101</v>
      </c>
      <c r="F4" s="3"/>
      <c r="G4" s="26">
        <v>2</v>
      </c>
      <c r="H4" s="3">
        <v>2.4348116962319998E-3</v>
      </c>
      <c r="I4" s="3">
        <v>2.4407545527719999E-3</v>
      </c>
      <c r="J4" s="3">
        <f t="shared" ref="J4:J12" si="1">I4-H4</f>
        <v>5.9428565400000515E-6</v>
      </c>
      <c r="K4" s="3">
        <v>0.24407869194880999</v>
      </c>
    </row>
    <row r="5" spans="1:11">
      <c r="A5" s="1">
        <v>3</v>
      </c>
      <c r="B5" s="3">
        <v>2.838839925358E-3</v>
      </c>
      <c r="C5" s="3">
        <v>2.8434460628319999E-3</v>
      </c>
      <c r="D5" s="3">
        <f t="shared" si="0"/>
        <v>4.6061374739999467E-6</v>
      </c>
      <c r="E5" s="3">
        <v>0.16225421635947801</v>
      </c>
      <c r="F5" s="3"/>
      <c r="G5" s="26">
        <v>3</v>
      </c>
      <c r="H5" s="3">
        <v>2.838839925358E-3</v>
      </c>
      <c r="I5" s="3">
        <v>2.8374957778039998E-3</v>
      </c>
      <c r="J5" s="3">
        <f t="shared" si="1"/>
        <v>-1.3441475540001795E-6</v>
      </c>
      <c r="K5" s="3">
        <v>4.7348479973768003E-2</v>
      </c>
    </row>
    <row r="6" spans="1:11">
      <c r="A6" s="1">
        <v>4</v>
      </c>
      <c r="B6" s="3">
        <v>3.1206152660400001E-3</v>
      </c>
      <c r="C6" s="3">
        <v>3.1230795318899999E-3</v>
      </c>
      <c r="D6" s="3">
        <f t="shared" si="0"/>
        <v>2.4642658499997652E-6</v>
      </c>
      <c r="E6" s="3">
        <v>7.8967307388550997E-2</v>
      </c>
      <c r="F6" s="3"/>
      <c r="G6" s="26">
        <v>4</v>
      </c>
      <c r="H6" s="3">
        <v>3.1206152660400001E-3</v>
      </c>
      <c r="I6" s="3">
        <v>3.128219056408E-3</v>
      </c>
      <c r="J6" s="3">
        <f t="shared" si="1"/>
        <v>7.603790367999904E-6</v>
      </c>
      <c r="K6" s="3">
        <v>0.243663179190278</v>
      </c>
    </row>
    <row r="7" spans="1:11">
      <c r="A7" s="1">
        <v>5</v>
      </c>
      <c r="B7" s="3">
        <v>3.3214311274030002E-3</v>
      </c>
      <c r="C7" s="3">
        <v>3.3207433711360001E-3</v>
      </c>
      <c r="D7" s="3">
        <f t="shared" si="0"/>
        <v>-6.8775626700006212E-7</v>
      </c>
      <c r="E7" s="3">
        <v>2.0706624334547001E-2</v>
      </c>
      <c r="F7" s="3"/>
      <c r="G7" s="26">
        <v>5</v>
      </c>
      <c r="H7" s="3">
        <v>3.3214311274030002E-3</v>
      </c>
      <c r="I7" s="3">
        <v>3.3204097686350001E-3</v>
      </c>
      <c r="J7" s="3">
        <f t="shared" si="1"/>
        <v>-1.0213587680000386E-6</v>
      </c>
      <c r="K7" s="3">
        <v>3.0750562897991999E-2</v>
      </c>
    </row>
    <row r="8" spans="1:11">
      <c r="A8" s="1">
        <v>6</v>
      </c>
      <c r="B8" s="3">
        <v>3.4637453110239998E-3</v>
      </c>
      <c r="C8" s="3">
        <v>3.462081531667E-3</v>
      </c>
      <c r="D8" s="3">
        <f t="shared" si="0"/>
        <v>-1.6637793569997811E-6</v>
      </c>
      <c r="E8" s="3">
        <v>4.8034113591418001E-2</v>
      </c>
      <c r="F8" s="3"/>
      <c r="G8" s="26">
        <v>6</v>
      </c>
      <c r="H8" s="3">
        <v>3.4637453110239998E-3</v>
      </c>
      <c r="I8" s="3">
        <v>3.466418411563E-3</v>
      </c>
      <c r="J8" s="3">
        <f t="shared" si="1"/>
        <v>2.6731005390002137E-6</v>
      </c>
      <c r="K8" s="3">
        <v>7.7173703559188997E-2</v>
      </c>
    </row>
    <row r="9" spans="1:11">
      <c r="A9" s="1">
        <v>7</v>
      </c>
      <c r="B9" s="3">
        <v>3.561635589543E-3</v>
      </c>
      <c r="C9" s="3">
        <v>3.5626663849909999E-3</v>
      </c>
      <c r="D9" s="3">
        <f t="shared" si="0"/>
        <v>1.0307954479999576E-6</v>
      </c>
      <c r="E9" s="3">
        <v>2.8941631525553999E-2</v>
      </c>
      <c r="F9" s="3"/>
      <c r="G9" s="26">
        <v>7</v>
      </c>
      <c r="H9" s="3">
        <v>3.561635589543E-3</v>
      </c>
      <c r="I9" s="3">
        <v>3.5658574424459999E-3</v>
      </c>
      <c r="J9" s="3">
        <f t="shared" si="1"/>
        <v>4.2218529029999612E-6</v>
      </c>
      <c r="K9" s="3">
        <v>0.118536913656507</v>
      </c>
    </row>
    <row r="10" spans="1:11">
      <c r="A10" s="1">
        <v>8</v>
      </c>
      <c r="B10" s="3">
        <v>3.6247299204620002E-3</v>
      </c>
      <c r="C10" s="3">
        <v>3.626743297649E-3</v>
      </c>
      <c r="D10" s="3">
        <f t="shared" si="0"/>
        <v>2.0133771869998776E-6</v>
      </c>
      <c r="E10" s="3">
        <v>5.5545578053312998E-2</v>
      </c>
      <c r="F10" s="3"/>
      <c r="G10" s="26">
        <v>8</v>
      </c>
      <c r="H10" s="3">
        <v>3.6247299204620002E-3</v>
      </c>
      <c r="I10" s="3">
        <v>3.6200239843109999E-3</v>
      </c>
      <c r="J10" s="3">
        <f t="shared" si="1"/>
        <v>-4.7059361510002826E-6</v>
      </c>
      <c r="K10" s="3">
        <v>0.12982860114171399</v>
      </c>
    </row>
    <row r="11" spans="1:11">
      <c r="A11" s="1">
        <v>9</v>
      </c>
      <c r="B11" s="3">
        <v>3.660009149161E-3</v>
      </c>
      <c r="C11" s="3">
        <v>3.6617883066399999E-3</v>
      </c>
      <c r="D11" s="3">
        <f t="shared" si="0"/>
        <v>1.7791574789998224E-6</v>
      </c>
      <c r="E11" s="3">
        <v>4.8610738573466997E-2</v>
      </c>
      <c r="F11" s="3"/>
      <c r="G11" s="26">
        <v>9</v>
      </c>
      <c r="H11" s="3">
        <v>3.660009149161E-3</v>
      </c>
      <c r="I11" s="3">
        <v>3.6633312614259999E-3</v>
      </c>
      <c r="J11" s="3">
        <f t="shared" si="1"/>
        <v>3.3221122649998609E-6</v>
      </c>
      <c r="K11" s="3">
        <v>9.0767867778413003E-2</v>
      </c>
    </row>
    <row r="12" spans="1:11" ht="17.25" thickBot="1">
      <c r="A12" s="8">
        <v>10</v>
      </c>
      <c r="B12" s="3">
        <v>3.6727488682560001E-3</v>
      </c>
      <c r="C12" s="3">
        <v>3.6734196953799999E-3</v>
      </c>
      <c r="D12" s="3">
        <f t="shared" si="0"/>
        <v>6.7082712399985783E-7</v>
      </c>
      <c r="E12" s="3">
        <v>1.8264987550188998E-2</v>
      </c>
      <c r="F12" s="3"/>
      <c r="G12" s="27">
        <v>10</v>
      </c>
      <c r="H12" s="3">
        <v>3.6727488682560001E-3</v>
      </c>
      <c r="I12" s="3">
        <v>3.674356813186E-3</v>
      </c>
      <c r="J12" s="3">
        <f t="shared" si="1"/>
        <v>1.6079449299999556E-6</v>
      </c>
      <c r="K12" s="3">
        <v>4.3780421348870002E-2</v>
      </c>
    </row>
    <row r="13" spans="1:11" ht="17.25" thickBot="1">
      <c r="A13" s="7"/>
      <c r="B13" s="9"/>
      <c r="C13" s="10" t="s">
        <v>13</v>
      </c>
      <c r="D13" s="17">
        <v>2.5690186101798402E-6</v>
      </c>
      <c r="E13" s="9"/>
      <c r="G13" s="7"/>
      <c r="H13" s="9"/>
      <c r="I13" s="10" t="s">
        <v>13</v>
      </c>
      <c r="J13" s="17">
        <v>6.3671226540112603E-6</v>
      </c>
      <c r="K13" s="9"/>
    </row>
    <row r="14" spans="1:11">
      <c r="A14" s="44" t="s">
        <v>16</v>
      </c>
      <c r="B14" s="44"/>
      <c r="C14" s="44"/>
      <c r="D14" s="44"/>
      <c r="E14" s="44"/>
      <c r="G14" s="44" t="s">
        <v>18</v>
      </c>
      <c r="H14" s="44"/>
      <c r="I14" s="44"/>
      <c r="J14" s="44"/>
      <c r="K14" s="44"/>
    </row>
    <row r="15" spans="1:11" ht="17.25" thickBot="1">
      <c r="A15" s="45" t="s">
        <v>22</v>
      </c>
      <c r="B15" s="45"/>
      <c r="C15" s="45"/>
      <c r="D15" s="45"/>
      <c r="E15" s="45"/>
      <c r="G15" s="45" t="s">
        <v>22</v>
      </c>
      <c r="H15" s="45"/>
      <c r="I15" s="45"/>
      <c r="J15" s="45"/>
      <c r="K15" s="45"/>
    </row>
    <row r="16" spans="1:11" ht="17.25" thickTop="1"/>
    <row r="17" spans="1:11" ht="17.25" thickBot="1">
      <c r="E17" s="13"/>
      <c r="K17" s="13"/>
    </row>
    <row r="18" spans="1:11" ht="17.25" thickBot="1">
      <c r="A18" s="7" t="s">
        <v>9</v>
      </c>
      <c r="B18" s="7" t="s">
        <v>10</v>
      </c>
      <c r="C18" s="7" t="s">
        <v>11</v>
      </c>
      <c r="D18" s="7" t="s">
        <v>12</v>
      </c>
      <c r="E18" s="8" t="s">
        <v>15</v>
      </c>
      <c r="G18" s="7" t="s">
        <v>9</v>
      </c>
      <c r="H18" s="7" t="s">
        <v>10</v>
      </c>
      <c r="I18" s="7" t="s">
        <v>11</v>
      </c>
      <c r="J18" s="7" t="s">
        <v>12</v>
      </c>
      <c r="K18" s="8" t="s">
        <v>15</v>
      </c>
    </row>
    <row r="19" spans="1:11">
      <c r="A19" s="1">
        <v>1</v>
      </c>
      <c r="B19" s="11">
        <v>3.6125022473499999E-3</v>
      </c>
      <c r="C19" s="3">
        <v>3.6270258495029999E-3</v>
      </c>
      <c r="D19" s="12">
        <f>C19-B19</f>
        <v>1.4523602152999998E-5</v>
      </c>
      <c r="E19" s="3">
        <v>0.40203717974481601</v>
      </c>
      <c r="G19" s="1">
        <v>1</v>
      </c>
      <c r="H19" s="4">
        <v>3.6125022473499999E-3</v>
      </c>
      <c r="I19" s="4">
        <v>3.6297019583850002E-3</v>
      </c>
      <c r="J19" s="11">
        <f>I19-H19</f>
        <v>1.719971103500027E-5</v>
      </c>
      <c r="K19" s="3">
        <v>0.47611627225998199</v>
      </c>
    </row>
    <row r="20" spans="1:11">
      <c r="A20" s="1">
        <v>2</v>
      </c>
      <c r="B20" s="11">
        <v>4.857484764854E-3</v>
      </c>
      <c r="C20" s="3">
        <v>4.864854801371E-3</v>
      </c>
      <c r="D20" s="12">
        <f t="shared" ref="D20:D28" si="2">C20-B20</f>
        <v>7.3700365169999602E-6</v>
      </c>
      <c r="E20" s="3">
        <v>0.151725365560193</v>
      </c>
      <c r="G20" s="1">
        <v>2</v>
      </c>
      <c r="H20" s="4">
        <v>4.857484764854E-3</v>
      </c>
      <c r="I20" s="4">
        <v>4.8805445847420002E-3</v>
      </c>
      <c r="J20" s="11">
        <f t="shared" ref="J20:J28" si="3">I20-H20</f>
        <v>2.3059819888000127E-5</v>
      </c>
      <c r="K20" s="3">
        <v>0.47472758030159301</v>
      </c>
    </row>
    <row r="21" spans="1:11">
      <c r="A21" s="1">
        <v>3</v>
      </c>
      <c r="B21" s="11">
        <v>5.6564813987619996E-3</v>
      </c>
      <c r="C21" s="3">
        <v>5.650741505088E-3</v>
      </c>
      <c r="D21" s="12">
        <f t="shared" si="2"/>
        <v>-5.7398936739996506E-6</v>
      </c>
      <c r="E21" s="3">
        <v>0.101474631835685</v>
      </c>
      <c r="G21" s="1">
        <v>3</v>
      </c>
      <c r="H21" s="4">
        <v>5.6564813987619996E-3</v>
      </c>
      <c r="I21" s="4">
        <v>5.6645031055830002E-3</v>
      </c>
      <c r="J21" s="11">
        <f t="shared" si="3"/>
        <v>8.0217068210005835E-6</v>
      </c>
      <c r="K21" s="3">
        <v>0.14181442942283401</v>
      </c>
    </row>
    <row r="22" spans="1:11">
      <c r="A22" s="1">
        <v>4</v>
      </c>
      <c r="B22" s="11">
        <v>6.2102056292219999E-3</v>
      </c>
      <c r="C22" s="3">
        <v>6.2167021071790002E-3</v>
      </c>
      <c r="D22" s="12">
        <f t="shared" si="2"/>
        <v>6.496477957000299E-6</v>
      </c>
      <c r="E22" s="3">
        <v>0.104609707707068</v>
      </c>
      <c r="G22" s="1">
        <v>4</v>
      </c>
      <c r="H22" s="4">
        <v>6.2102056292219999E-3</v>
      </c>
      <c r="I22" s="4">
        <v>6.193503742268E-3</v>
      </c>
      <c r="J22" s="11">
        <f t="shared" si="3"/>
        <v>-1.6701886953999871E-5</v>
      </c>
      <c r="K22" s="3">
        <v>0.26894257536571098</v>
      </c>
    </row>
    <row r="23" spans="1:11">
      <c r="A23" s="1">
        <v>5</v>
      </c>
      <c r="B23" s="11">
        <v>6.6016454676079998E-3</v>
      </c>
      <c r="C23" s="3">
        <v>6.6036633153460002E-3</v>
      </c>
      <c r="D23" s="12">
        <f t="shared" si="2"/>
        <v>2.0178477380004486E-6</v>
      </c>
      <c r="E23" s="3">
        <v>3.0565830101676E-2</v>
      </c>
      <c r="G23" s="1">
        <v>5</v>
      </c>
      <c r="H23" s="4">
        <v>6.6016454676079998E-3</v>
      </c>
      <c r="I23" s="4">
        <v>6.6066423826230004E-3</v>
      </c>
      <c r="J23" s="11">
        <f t="shared" si="3"/>
        <v>4.9969150150005678E-6</v>
      </c>
      <c r="K23" s="3">
        <v>7.5691962547131994E-2</v>
      </c>
    </row>
    <row r="24" spans="1:11">
      <c r="A24" s="1">
        <v>6</v>
      </c>
      <c r="B24" s="11">
        <v>6.8759861192910004E-3</v>
      </c>
      <c r="C24" s="3">
        <v>6.8743634440210002E-3</v>
      </c>
      <c r="D24" s="12">
        <f t="shared" si="2"/>
        <v>-1.6226752700002414E-6</v>
      </c>
      <c r="E24" s="3">
        <v>2.3599164430089001E-2</v>
      </c>
      <c r="G24" s="1">
        <v>6</v>
      </c>
      <c r="H24" s="4">
        <v>6.8759861192910004E-3</v>
      </c>
      <c r="I24" s="4">
        <v>6.8856563830150003E-3</v>
      </c>
      <c r="J24" s="11">
        <f t="shared" si="3"/>
        <v>9.6702637239999209E-6</v>
      </c>
      <c r="K24" s="3">
        <v>0.14063820892521001</v>
      </c>
    </row>
    <row r="25" spans="1:11">
      <c r="A25" s="1">
        <v>7</v>
      </c>
      <c r="B25" s="11">
        <v>7.0615740317760004E-3</v>
      </c>
      <c r="C25" s="3">
        <v>7.0656730487210001E-3</v>
      </c>
      <c r="D25" s="12">
        <f t="shared" si="2"/>
        <v>4.0990169449996866E-6</v>
      </c>
      <c r="E25" s="3">
        <v>5.8046788522098998E-2</v>
      </c>
      <c r="G25" s="1">
        <v>7</v>
      </c>
      <c r="H25" s="4">
        <v>7.0615740317760004E-3</v>
      </c>
      <c r="I25" s="4">
        <v>7.0648758802029999E-3</v>
      </c>
      <c r="J25" s="11">
        <f t="shared" si="3"/>
        <v>3.3018484269994874E-6</v>
      </c>
      <c r="K25" s="3">
        <v>4.6757966602589997E-2</v>
      </c>
    </row>
    <row r="26" spans="1:11">
      <c r="A26" s="1">
        <v>8</v>
      </c>
      <c r="B26" s="11">
        <v>7.1778037334929998E-3</v>
      </c>
      <c r="C26" s="3">
        <v>7.1775956912540004E-3</v>
      </c>
      <c r="D26" s="12">
        <f t="shared" si="2"/>
        <v>-2.0804223899942992E-7</v>
      </c>
      <c r="E26" s="3">
        <v>2.898410807395E-3</v>
      </c>
      <c r="G26" s="1">
        <v>8</v>
      </c>
      <c r="H26" s="4">
        <v>7.1778037334929998E-3</v>
      </c>
      <c r="I26" s="4">
        <v>7.1674779559300003E-3</v>
      </c>
      <c r="J26" s="11">
        <f t="shared" si="3"/>
        <v>-1.0325777562999496E-5</v>
      </c>
      <c r="K26" s="3">
        <v>0.143857061946943</v>
      </c>
    </row>
    <row r="27" spans="1:11">
      <c r="A27" s="1">
        <v>9</v>
      </c>
      <c r="B27" s="11">
        <v>7.2387384825639998E-3</v>
      </c>
      <c r="C27" s="3">
        <v>7.2386556229869998E-3</v>
      </c>
      <c r="D27" s="12">
        <f t="shared" si="2"/>
        <v>-8.2859577000063411E-8</v>
      </c>
      <c r="E27" s="3">
        <v>1.1446687486389999E-3</v>
      </c>
      <c r="G27" s="1">
        <v>9</v>
      </c>
      <c r="H27" s="4">
        <v>7.2387384825639998E-3</v>
      </c>
      <c r="I27" s="4">
        <v>7.2410215516699999E-3</v>
      </c>
      <c r="J27" s="11">
        <f t="shared" si="3"/>
        <v>2.2830691060000616E-6</v>
      </c>
      <c r="K27" s="3">
        <v>3.1539599219842999E-2</v>
      </c>
    </row>
    <row r="28" spans="1:11" ht="17.25" thickBot="1">
      <c r="A28" s="8">
        <v>10</v>
      </c>
      <c r="B28" s="11">
        <v>7.2550036569199996E-3</v>
      </c>
      <c r="C28" s="3">
        <v>7.2576598376370002E-3</v>
      </c>
      <c r="D28" s="14">
        <f t="shared" si="2"/>
        <v>2.656180717000578E-6</v>
      </c>
      <c r="E28" s="15">
        <v>3.6611707495172001E-2</v>
      </c>
      <c r="G28" s="8">
        <v>10</v>
      </c>
      <c r="H28" s="4">
        <v>7.2550036569199996E-3</v>
      </c>
      <c r="I28" s="4">
        <v>7.2603872539599998E-3</v>
      </c>
      <c r="J28" s="11">
        <f t="shared" si="3"/>
        <v>5.3835970400002015E-6</v>
      </c>
      <c r="K28" s="3">
        <v>7.4205297404105003E-2</v>
      </c>
    </row>
    <row r="29" spans="1:11" ht="17.25" thickBot="1">
      <c r="A29" s="7"/>
      <c r="B29" s="9"/>
      <c r="C29" s="10" t="s">
        <v>13</v>
      </c>
      <c r="D29" s="17">
        <v>6.0911019588032902E-6</v>
      </c>
      <c r="E29" s="16"/>
      <c r="G29" s="7"/>
      <c r="H29" s="9"/>
      <c r="I29" s="10" t="s">
        <v>13</v>
      </c>
      <c r="J29" s="17">
        <v>1.2004535510570601E-5</v>
      </c>
      <c r="K29" s="9"/>
    </row>
    <row r="30" spans="1:11">
      <c r="A30" s="44" t="s">
        <v>16</v>
      </c>
      <c r="B30" s="44"/>
      <c r="C30" s="44"/>
      <c r="D30" s="44"/>
      <c r="E30" s="44"/>
      <c r="G30" s="44" t="s">
        <v>18</v>
      </c>
      <c r="H30" s="44"/>
      <c r="I30" s="44"/>
      <c r="J30" s="44"/>
      <c r="K30" s="44"/>
    </row>
    <row r="31" spans="1:11" ht="17.25" thickBot="1">
      <c r="A31" s="45" t="s">
        <v>14</v>
      </c>
      <c r="B31" s="45"/>
      <c r="C31" s="45"/>
      <c r="D31" s="45"/>
      <c r="E31" s="45"/>
      <c r="G31" s="45" t="s">
        <v>14</v>
      </c>
      <c r="H31" s="45"/>
      <c r="I31" s="45"/>
      <c r="J31" s="45"/>
      <c r="K31" s="45"/>
    </row>
    <row r="32" spans="1:11" ht="17.25" thickTop="1">
      <c r="A32" s="19"/>
      <c r="B32" s="19"/>
      <c r="C32" s="19"/>
      <c r="D32" s="19"/>
      <c r="E32" s="19"/>
    </row>
    <row r="33" spans="1:11" ht="17.25" thickBot="1">
      <c r="E33" s="13"/>
      <c r="K33" s="13"/>
    </row>
    <row r="34" spans="1:11" ht="17.25" thickBot="1">
      <c r="A34" s="7" t="s">
        <v>9</v>
      </c>
      <c r="B34" s="7" t="s">
        <v>10</v>
      </c>
      <c r="C34" s="7" t="s">
        <v>11</v>
      </c>
      <c r="D34" s="7" t="s">
        <v>12</v>
      </c>
      <c r="E34" s="8" t="s">
        <v>15</v>
      </c>
      <c r="G34" s="7" t="s">
        <v>9</v>
      </c>
      <c r="H34" s="7" t="s">
        <v>10</v>
      </c>
      <c r="I34" s="7" t="s">
        <v>11</v>
      </c>
      <c r="J34" s="7" t="s">
        <v>12</v>
      </c>
      <c r="K34" s="8" t="s">
        <v>15</v>
      </c>
    </row>
    <row r="35" spans="1:11">
      <c r="A35" s="1">
        <v>1</v>
      </c>
      <c r="B35" s="3">
        <v>5.4075004417449999E-3</v>
      </c>
      <c r="C35" s="3">
        <v>5.432796275364E-3</v>
      </c>
      <c r="D35" s="3">
        <f>C35-B35</f>
        <v>2.5295833619000049E-5</v>
      </c>
      <c r="E35" s="3">
        <v>0.46779161445669298</v>
      </c>
      <c r="G35" s="1">
        <v>1</v>
      </c>
      <c r="H35" s="3">
        <v>5.4075004417449999E-3</v>
      </c>
      <c r="I35" s="3">
        <v>5.3980147342009999E-3</v>
      </c>
      <c r="J35" s="3">
        <f>I35-H35</f>
        <v>-9.4857075440000008E-6</v>
      </c>
      <c r="K35" s="3">
        <v>0.175417600908849</v>
      </c>
    </row>
    <row r="36" spans="1:11">
      <c r="A36" s="1">
        <v>2</v>
      </c>
      <c r="B36" s="3">
        <v>7.2560618260389996E-3</v>
      </c>
      <c r="C36" s="3">
        <v>7.2444257141719998E-3</v>
      </c>
      <c r="D36" s="3">
        <f t="shared" ref="D36:D44" si="4">C36-B36</f>
        <v>-1.1636111866999803E-5</v>
      </c>
      <c r="E36" s="3">
        <v>0.16036401212561999</v>
      </c>
      <c r="G36" s="1">
        <v>2</v>
      </c>
      <c r="H36" s="3">
        <v>7.2560618260389996E-3</v>
      </c>
      <c r="I36" s="3">
        <v>7.2702537596619999E-3</v>
      </c>
      <c r="J36" s="3">
        <f t="shared" ref="J36:J44" si="5">I36-H36</f>
        <v>1.4191933623000294E-5</v>
      </c>
      <c r="K36" s="3">
        <v>0.19558727534387599</v>
      </c>
    </row>
    <row r="37" spans="1:11">
      <c r="A37" s="1">
        <v>3</v>
      </c>
      <c r="B37" s="3">
        <v>8.4321996713620003E-3</v>
      </c>
      <c r="C37" s="3">
        <v>8.4428860551449998E-3</v>
      </c>
      <c r="D37" s="3">
        <f t="shared" si="4"/>
        <v>1.0686383782999506E-5</v>
      </c>
      <c r="E37" s="3">
        <v>0.12673304949294001</v>
      </c>
      <c r="G37" s="1">
        <v>3</v>
      </c>
      <c r="H37" s="3">
        <v>8.4321996713620003E-3</v>
      </c>
      <c r="I37" s="3">
        <v>8.4519896451259995E-3</v>
      </c>
      <c r="J37" s="3">
        <f t="shared" si="5"/>
        <v>1.9789973763999213E-5</v>
      </c>
      <c r="K37" s="3">
        <v>0.23469526975177299</v>
      </c>
    </row>
    <row r="38" spans="1:11">
      <c r="A38" s="1">
        <v>4</v>
      </c>
      <c r="B38" s="3">
        <v>9.238668461055E-3</v>
      </c>
      <c r="C38" s="3">
        <v>9.2346222874649993E-3</v>
      </c>
      <c r="D38" s="3">
        <f t="shared" si="4"/>
        <v>-4.0461735900006179E-6</v>
      </c>
      <c r="E38" s="3">
        <v>4.3796068740778002E-2</v>
      </c>
      <c r="G38" s="1">
        <v>4</v>
      </c>
      <c r="H38" s="3">
        <v>9.238668461055E-3</v>
      </c>
      <c r="I38" s="3">
        <v>9.2564074745039998E-3</v>
      </c>
      <c r="J38" s="3">
        <f t="shared" si="5"/>
        <v>1.7739013448999849E-5</v>
      </c>
      <c r="K38" s="3">
        <v>0.192008334567216</v>
      </c>
    </row>
    <row r="39" spans="1:11">
      <c r="A39" s="1">
        <v>5</v>
      </c>
      <c r="B39" s="3">
        <v>9.8009543058090003E-3</v>
      </c>
      <c r="C39" s="3">
        <v>9.8062011023330002E-3</v>
      </c>
      <c r="D39" s="3">
        <f t="shared" si="4"/>
        <v>5.2467965239999526E-6</v>
      </c>
      <c r="E39" s="3">
        <v>5.3533527048208997E-2</v>
      </c>
      <c r="G39" s="1">
        <v>5</v>
      </c>
      <c r="H39" s="3">
        <v>9.8009543058090003E-3</v>
      </c>
      <c r="I39" s="3">
        <v>9.8124952448929992E-3</v>
      </c>
      <c r="J39" s="3">
        <f t="shared" si="5"/>
        <v>1.1540939083998919E-5</v>
      </c>
      <c r="K39" s="3">
        <v>0.11775321794580899</v>
      </c>
    </row>
    <row r="40" spans="1:11">
      <c r="A40" s="1">
        <v>6</v>
      </c>
      <c r="B40" s="3">
        <v>1.0187504086606999E-2</v>
      </c>
      <c r="C40" s="3">
        <v>1.0186458334304999E-2</v>
      </c>
      <c r="D40" s="3">
        <f t="shared" si="4"/>
        <v>-1.0457523020000747E-6</v>
      </c>
      <c r="E40" s="3">
        <v>1.0265049158015E-2</v>
      </c>
      <c r="G40" s="1">
        <v>6</v>
      </c>
      <c r="H40" s="3">
        <v>1.0187504086606999E-2</v>
      </c>
      <c r="I40" s="3">
        <v>1.0190426525198E-2</v>
      </c>
      <c r="J40" s="3">
        <f t="shared" si="5"/>
        <v>2.9224385910010114E-6</v>
      </c>
      <c r="K40" s="3">
        <v>2.8686502267965E-2</v>
      </c>
    </row>
    <row r="41" spans="1:11">
      <c r="A41" s="1">
        <v>7</v>
      </c>
      <c r="B41" s="3">
        <v>1.0441305946573E-2</v>
      </c>
      <c r="C41" s="3">
        <v>1.0443258046839E-2</v>
      </c>
      <c r="D41" s="3">
        <f t="shared" si="4"/>
        <v>1.9521002659998732E-6</v>
      </c>
      <c r="E41" s="3">
        <v>1.8695939721260001E-2</v>
      </c>
      <c r="G41" s="1">
        <v>7</v>
      </c>
      <c r="H41" s="3">
        <v>1.0441305946573E-2</v>
      </c>
      <c r="I41" s="3">
        <v>1.043420412789E-2</v>
      </c>
      <c r="J41" s="3">
        <f t="shared" si="5"/>
        <v>-7.1018186830005409E-6</v>
      </c>
      <c r="K41" s="3">
        <v>6.8016574933656995E-2</v>
      </c>
    </row>
    <row r="42" spans="1:11">
      <c r="A42" s="1">
        <v>8</v>
      </c>
      <c r="B42" s="3">
        <v>1.0591786962756001E-2</v>
      </c>
      <c r="C42" s="3">
        <v>1.0592068062983E-2</v>
      </c>
      <c r="D42" s="3">
        <f t="shared" si="4"/>
        <v>2.8110022699985582E-7</v>
      </c>
      <c r="E42" s="3">
        <v>2.6539452555970002E-3</v>
      </c>
      <c r="G42" s="1">
        <v>8</v>
      </c>
      <c r="H42" s="3">
        <v>1.0591786962756001E-2</v>
      </c>
      <c r="I42" s="3">
        <v>1.0574268767891E-2</v>
      </c>
      <c r="J42" s="3">
        <f t="shared" si="5"/>
        <v>-1.7518194865000225E-5</v>
      </c>
      <c r="K42" s="3">
        <v>0.16539413912588299</v>
      </c>
    </row>
    <row r="43" spans="1:11">
      <c r="A43" s="1">
        <v>9</v>
      </c>
      <c r="B43" s="3">
        <v>1.0660283167341E-2</v>
      </c>
      <c r="C43" s="3">
        <v>1.0659938958967E-2</v>
      </c>
      <c r="D43" s="3">
        <f t="shared" si="4"/>
        <v>-3.4420837399969095E-7</v>
      </c>
      <c r="E43" s="3">
        <v>3.2288858443469998E-3</v>
      </c>
      <c r="G43" s="1">
        <v>9</v>
      </c>
      <c r="H43" s="3">
        <v>1.0660283167341E-2</v>
      </c>
      <c r="I43" s="3">
        <v>1.0653804668137999E-2</v>
      </c>
      <c r="J43" s="3">
        <f t="shared" si="5"/>
        <v>-6.4784992030008509E-6</v>
      </c>
      <c r="K43" s="3">
        <v>6.0772299393653001E-2</v>
      </c>
    </row>
    <row r="44" spans="1:11" ht="17.25" thickBot="1">
      <c r="A44" s="8">
        <v>10</v>
      </c>
      <c r="B44" s="3">
        <v>1.0662904477754E-2</v>
      </c>
      <c r="C44" s="3">
        <v>1.0663699461665E-2</v>
      </c>
      <c r="D44" s="3">
        <f t="shared" si="4"/>
        <v>7.9498391099969146E-7</v>
      </c>
      <c r="E44" s="3">
        <v>7.4556037935369999E-3</v>
      </c>
      <c r="G44" s="8">
        <v>10</v>
      </c>
      <c r="H44" s="3">
        <v>1.0662904477754E-2</v>
      </c>
      <c r="I44" s="3">
        <v>1.0662750150793E-2</v>
      </c>
      <c r="J44" s="3">
        <f t="shared" si="5"/>
        <v>-1.5432696100041443E-7</v>
      </c>
      <c r="K44" s="3">
        <v>1.447325740286E-3</v>
      </c>
    </row>
    <row r="45" spans="1:11" ht="17.25" thickBot="1">
      <c r="A45" s="7"/>
      <c r="B45" s="9"/>
      <c r="C45" s="10" t="s">
        <v>13</v>
      </c>
      <c r="D45" s="17">
        <v>9.6907754082891307E-6</v>
      </c>
      <c r="E45" s="16"/>
      <c r="G45" s="7"/>
      <c r="H45" s="9"/>
      <c r="I45" s="10" t="s">
        <v>13</v>
      </c>
      <c r="J45" s="17">
        <v>1.2404664276919101E-5</v>
      </c>
      <c r="K45" s="9"/>
    </row>
    <row r="46" spans="1:11">
      <c r="A46" s="44" t="s">
        <v>16</v>
      </c>
      <c r="B46" s="44"/>
      <c r="C46" s="44"/>
      <c r="D46" s="44"/>
      <c r="E46" s="44"/>
      <c r="G46" s="44" t="s">
        <v>18</v>
      </c>
      <c r="H46" s="44"/>
      <c r="I46" s="44"/>
      <c r="J46" s="44"/>
      <c r="K46" s="44"/>
    </row>
    <row r="47" spans="1:11" ht="17.25" thickBot="1">
      <c r="A47" s="45" t="s">
        <v>21</v>
      </c>
      <c r="B47" s="45"/>
      <c r="C47" s="45"/>
      <c r="D47" s="45"/>
      <c r="E47" s="45"/>
      <c r="G47" s="45" t="s">
        <v>21</v>
      </c>
      <c r="H47" s="45"/>
      <c r="I47" s="45"/>
      <c r="J47" s="45"/>
      <c r="K47" s="45"/>
    </row>
    <row r="48" spans="1:11" ht="17.25" thickTop="1"/>
    <row r="50" spans="1:5">
      <c r="A50" s="20"/>
      <c r="B50" s="20"/>
      <c r="C50" s="20"/>
      <c r="D50" s="20"/>
      <c r="E50" s="20"/>
    </row>
    <row r="51" spans="1:5">
      <c r="A51" s="20"/>
      <c r="B51" s="21"/>
      <c r="C51" s="21"/>
      <c r="D51" s="21"/>
      <c r="E51" s="21"/>
    </row>
    <row r="52" spans="1:5">
      <c r="A52" s="20"/>
      <c r="B52" s="21"/>
      <c r="C52" s="21"/>
      <c r="D52" s="21"/>
      <c r="E52" s="21"/>
    </row>
    <row r="53" spans="1:5">
      <c r="A53" s="20"/>
      <c r="B53" s="21"/>
      <c r="C53" s="21"/>
      <c r="D53" s="21"/>
      <c r="E53" s="21"/>
    </row>
    <row r="54" spans="1:5">
      <c r="A54" s="20"/>
      <c r="B54" s="21"/>
      <c r="C54" s="21"/>
      <c r="D54" s="21"/>
      <c r="E54" s="21"/>
    </row>
    <row r="55" spans="1:5">
      <c r="A55" s="20"/>
      <c r="B55" s="21"/>
      <c r="C55" s="21"/>
      <c r="D55" s="21"/>
      <c r="E55" s="21"/>
    </row>
    <row r="56" spans="1:5">
      <c r="A56" s="20"/>
      <c r="B56" s="21"/>
      <c r="C56" s="21"/>
      <c r="D56" s="21"/>
      <c r="E56" s="21"/>
    </row>
    <row r="57" spans="1:5">
      <c r="A57" s="20"/>
      <c r="B57" s="21"/>
      <c r="C57" s="21"/>
      <c r="D57" s="21"/>
      <c r="E57" s="21"/>
    </row>
    <row r="58" spans="1:5">
      <c r="A58" s="20"/>
      <c r="B58" s="21"/>
      <c r="C58" s="21"/>
      <c r="D58" s="21"/>
      <c r="E58" s="21"/>
    </row>
    <row r="59" spans="1:5">
      <c r="A59" s="20"/>
      <c r="B59" s="21"/>
      <c r="C59" s="21"/>
      <c r="D59" s="21"/>
      <c r="E59" s="21"/>
    </row>
    <row r="60" spans="1:5">
      <c r="A60" s="20"/>
      <c r="B60" s="21"/>
      <c r="C60" s="21"/>
      <c r="D60" s="21"/>
      <c r="E60" s="21"/>
    </row>
    <row r="61" spans="1:5">
      <c r="A61" s="20"/>
      <c r="B61" s="22"/>
      <c r="C61" s="23"/>
      <c r="D61" s="24"/>
      <c r="E61" s="21"/>
    </row>
    <row r="62" spans="1:5">
      <c r="A62" s="43"/>
      <c r="B62" s="43"/>
      <c r="C62" s="43"/>
      <c r="D62" s="43"/>
      <c r="E62" s="43"/>
    </row>
    <row r="63" spans="1:5">
      <c r="A63" s="43"/>
      <c r="B63" s="43"/>
      <c r="C63" s="43"/>
      <c r="D63" s="43"/>
      <c r="E63" s="43"/>
    </row>
  </sheetData>
  <mergeCells count="14">
    <mergeCell ref="A62:E62"/>
    <mergeCell ref="A63:E63"/>
    <mergeCell ref="A14:E14"/>
    <mergeCell ref="A15:E15"/>
    <mergeCell ref="G14:K14"/>
    <mergeCell ref="G15:K15"/>
    <mergeCell ref="A30:E30"/>
    <mergeCell ref="A31:E31"/>
    <mergeCell ref="G30:K30"/>
    <mergeCell ref="G31:K31"/>
    <mergeCell ref="A46:E46"/>
    <mergeCell ref="A47:E47"/>
    <mergeCell ref="G46:K46"/>
    <mergeCell ref="G47:K4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4"/>
  <sheetViews>
    <sheetView topLeftCell="A4" workbookViewId="0">
      <selection activeCell="J78" sqref="J78"/>
    </sheetView>
  </sheetViews>
  <sheetFormatPr defaultRowHeight="16.5"/>
  <cols>
    <col min="2" max="2" width="15.375" customWidth="1"/>
  </cols>
  <sheetData>
    <row r="1" spans="1:2">
      <c r="A1" s="39" t="s">
        <v>24</v>
      </c>
      <c r="B1" s="40"/>
    </row>
    <row r="2" spans="1:2">
      <c r="A2" s="6" t="s">
        <v>23</v>
      </c>
      <c r="B2" s="6" t="s">
        <v>0</v>
      </c>
    </row>
    <row r="3" spans="1:2">
      <c r="A3" s="6">
        <v>25</v>
      </c>
      <c r="B3" s="29">
        <v>6.3671226540112704E-6</v>
      </c>
    </row>
    <row r="4" spans="1:2">
      <c r="A4" s="6">
        <v>26</v>
      </c>
      <c r="B4" s="29">
        <v>4.5602110683367505E-6</v>
      </c>
    </row>
    <row r="5" spans="1:2">
      <c r="A5" s="6">
        <v>27</v>
      </c>
      <c r="B5" s="29">
        <v>5.8209748656704304E-6</v>
      </c>
    </row>
    <row r="6" spans="1:2">
      <c r="A6" s="6">
        <v>28</v>
      </c>
      <c r="B6" s="29">
        <v>4.2251333388011399E-6</v>
      </c>
    </row>
    <row r="7" spans="1:2">
      <c r="A7" s="6">
        <v>29</v>
      </c>
      <c r="B7" s="29">
        <v>5.3951569801935003E-6</v>
      </c>
    </row>
    <row r="8" spans="1:2">
      <c r="A8" s="6">
        <v>30</v>
      </c>
      <c r="B8" s="29">
        <v>4.0027925012899206E-6</v>
      </c>
    </row>
    <row r="9" spans="1:2">
      <c r="A9" s="6">
        <v>31</v>
      </c>
      <c r="B9" s="29">
        <v>5.0586253185540001E-6</v>
      </c>
    </row>
    <row r="10" spans="1:2">
      <c r="A10" s="6">
        <v>32</v>
      </c>
      <c r="B10" s="29">
        <v>3.8593805615430904E-6</v>
      </c>
    </row>
    <row r="11" spans="1:2">
      <c r="A11" s="6">
        <v>33</v>
      </c>
      <c r="B11" s="29">
        <v>4.7901505769866398E-6</v>
      </c>
    </row>
    <row r="12" spans="1:2">
      <c r="A12" s="6">
        <v>34</v>
      </c>
      <c r="B12" s="29">
        <v>3.6449543812056006E-6</v>
      </c>
    </row>
    <row r="13" spans="1:2">
      <c r="A13" s="6">
        <v>35</v>
      </c>
      <c r="B13" s="29">
        <v>4.5752453915305406E-6</v>
      </c>
    </row>
    <row r="14" spans="1:2">
      <c r="A14" s="6">
        <v>36</v>
      </c>
      <c r="B14" s="29">
        <v>3.4321203303688007E-6</v>
      </c>
    </row>
    <row r="15" spans="1:2">
      <c r="A15" s="6">
        <v>37</v>
      </c>
      <c r="B15" s="29">
        <v>4.4038860988861206E-6</v>
      </c>
    </row>
    <row r="16" spans="1:2">
      <c r="A16" s="6">
        <v>38</v>
      </c>
      <c r="B16" s="29">
        <v>3.2705679933495505E-6</v>
      </c>
    </row>
    <row r="17" spans="1:2">
      <c r="A17" s="6">
        <v>39</v>
      </c>
      <c r="B17" s="29">
        <v>4.2689906269497202E-6</v>
      </c>
    </row>
    <row r="18" spans="1:2">
      <c r="A18" s="6">
        <v>40</v>
      </c>
      <c r="B18" s="29">
        <v>3.1476493253524706E-6</v>
      </c>
    </row>
    <row r="19" spans="1:2">
      <c r="A19" s="6">
        <v>41</v>
      </c>
      <c r="B19" s="29">
        <v>4.1654005455309208E-6</v>
      </c>
    </row>
    <row r="20" spans="1:2">
      <c r="A20" s="6">
        <v>42</v>
      </c>
      <c r="B20" s="29">
        <v>3.0544820161115501E-6</v>
      </c>
    </row>
    <row r="21" spans="1:2">
      <c r="A21" s="6">
        <v>43</v>
      </c>
      <c r="B21" s="29">
        <v>4.0892027570864197E-6</v>
      </c>
    </row>
    <row r="22" spans="1:2">
      <c r="A22" s="6">
        <v>44</v>
      </c>
      <c r="B22" s="29">
        <v>2.9848978818369302E-6</v>
      </c>
    </row>
    <row r="23" spans="1:2">
      <c r="A23" s="6">
        <v>45</v>
      </c>
      <c r="B23" s="29">
        <v>3.9569096218616708E-6</v>
      </c>
    </row>
    <row r="24" spans="1:2">
      <c r="A24" s="6">
        <v>46</v>
      </c>
      <c r="B24" s="29">
        <v>2.8377297870089405E-6</v>
      </c>
    </row>
    <row r="25" spans="1:2">
      <c r="A25" s="6">
        <v>47</v>
      </c>
      <c r="B25" s="29">
        <v>3.6535193161798306E-6</v>
      </c>
    </row>
    <row r="26" spans="1:2">
      <c r="A26" s="6">
        <v>48</v>
      </c>
      <c r="B26" s="29">
        <v>2.6907536438347902E-6</v>
      </c>
    </row>
    <row r="27" spans="1:2">
      <c r="A27" s="6">
        <v>49</v>
      </c>
      <c r="B27" s="29">
        <v>3.39358957386544E-6</v>
      </c>
    </row>
    <row r="28" spans="1:2">
      <c r="A28" s="6">
        <v>50</v>
      </c>
      <c r="B28" s="29">
        <v>2.5690186101798402E-6</v>
      </c>
    </row>
    <row r="29" spans="1:2">
      <c r="A29" s="39" t="s">
        <v>25</v>
      </c>
      <c r="B29" s="40"/>
    </row>
    <row r="30" spans="1:2">
      <c r="A30" s="6" t="s">
        <v>23</v>
      </c>
      <c r="B30" s="6" t="s">
        <v>0</v>
      </c>
    </row>
    <row r="31" spans="1:2">
      <c r="A31" s="6">
        <v>25</v>
      </c>
      <c r="B31" s="30">
        <v>1.2004535510570601E-5</v>
      </c>
    </row>
    <row r="32" spans="1:2">
      <c r="A32" s="6">
        <v>26</v>
      </c>
      <c r="B32" s="30">
        <v>1.11316479348802E-5</v>
      </c>
    </row>
    <row r="33" spans="1:2">
      <c r="A33" s="6">
        <v>27</v>
      </c>
      <c r="B33" s="30">
        <v>1.01564220441864E-5</v>
      </c>
    </row>
    <row r="34" spans="1:2">
      <c r="A34" s="6">
        <v>28</v>
      </c>
      <c r="B34" s="30">
        <v>9.8687362144709998E-6</v>
      </c>
    </row>
    <row r="35" spans="1:2">
      <c r="A35" s="6">
        <v>29</v>
      </c>
      <c r="B35" s="30">
        <v>9.0015442442699012E-6</v>
      </c>
    </row>
    <row r="36" spans="1:2">
      <c r="A36" s="6">
        <v>30</v>
      </c>
      <c r="B36" s="30">
        <v>9.1289273406275003E-6</v>
      </c>
    </row>
    <row r="37" spans="1:2">
      <c r="A37" s="6">
        <v>31</v>
      </c>
      <c r="B37" s="30">
        <v>8.4096553118107007E-6</v>
      </c>
    </row>
    <row r="38" spans="1:2">
      <c r="A38" s="6">
        <v>32</v>
      </c>
      <c r="B38" s="30">
        <v>8.7949602580129004E-6</v>
      </c>
    </row>
    <row r="39" spans="1:2">
      <c r="A39" s="6">
        <v>33</v>
      </c>
      <c r="B39" s="30">
        <v>7.7013364201077001E-6</v>
      </c>
    </row>
    <row r="40" spans="1:2">
      <c r="A40" s="6">
        <v>34</v>
      </c>
      <c r="B40" s="30">
        <v>8.3399110789345002E-6</v>
      </c>
    </row>
    <row r="41" spans="1:2">
      <c r="A41" s="6">
        <v>35</v>
      </c>
      <c r="B41" s="30">
        <v>7.4862452871844E-6</v>
      </c>
    </row>
    <row r="42" spans="1:2">
      <c r="A42" s="6">
        <v>36</v>
      </c>
      <c r="B42" s="30">
        <v>8.0395913201208004E-6</v>
      </c>
    </row>
    <row r="43" spans="1:2">
      <c r="A43" s="6">
        <v>37</v>
      </c>
      <c r="B43" s="30">
        <v>7.0140971148063006E-6</v>
      </c>
    </row>
    <row r="44" spans="1:2">
      <c r="A44" s="6">
        <v>38</v>
      </c>
      <c r="B44" s="30">
        <v>7.6237419509459006E-6</v>
      </c>
    </row>
    <row r="45" spans="1:2">
      <c r="A45" s="6">
        <v>39</v>
      </c>
      <c r="B45" s="30">
        <v>6.2679617453498996E-6</v>
      </c>
    </row>
    <row r="46" spans="1:2">
      <c r="A46" s="6">
        <v>40</v>
      </c>
      <c r="B46" s="30">
        <v>7.4991520353710003E-6</v>
      </c>
    </row>
    <row r="47" spans="1:2">
      <c r="A47" s="6">
        <v>41</v>
      </c>
      <c r="B47" s="30">
        <v>5.8258877057017009E-6</v>
      </c>
    </row>
    <row r="48" spans="1:2">
      <c r="A48" s="6">
        <v>42</v>
      </c>
      <c r="B48" s="30">
        <v>7.5810194415164E-6</v>
      </c>
    </row>
    <row r="49" spans="1:2">
      <c r="A49" s="6">
        <v>43</v>
      </c>
      <c r="B49" s="30">
        <v>5.6074795802361004E-6</v>
      </c>
    </row>
    <row r="50" spans="1:2">
      <c r="A50" s="6">
        <v>44</v>
      </c>
      <c r="B50" s="30">
        <v>7.8144329344764005E-6</v>
      </c>
    </row>
    <row r="51" spans="1:2">
      <c r="A51" s="6">
        <v>45</v>
      </c>
      <c r="B51" s="30">
        <v>5.4045366066962006E-6</v>
      </c>
    </row>
    <row r="52" spans="1:2">
      <c r="A52" s="6">
        <v>46</v>
      </c>
      <c r="B52" s="30">
        <v>7.2303898448939004E-6</v>
      </c>
    </row>
    <row r="53" spans="1:2">
      <c r="A53" s="6">
        <v>47</v>
      </c>
      <c r="B53" s="30">
        <v>4.9549304137633002E-6</v>
      </c>
    </row>
    <row r="54" spans="1:2">
      <c r="A54" s="6">
        <v>48</v>
      </c>
      <c r="B54" s="30">
        <v>6.5738482965336006E-6</v>
      </c>
    </row>
    <row r="55" spans="1:2">
      <c r="A55" s="6">
        <v>49</v>
      </c>
      <c r="B55" s="30">
        <v>4.6830225818045004E-6</v>
      </c>
    </row>
    <row r="56" spans="1:2">
      <c r="A56" s="6">
        <v>50</v>
      </c>
      <c r="B56" s="30">
        <v>6.0911019588033003E-6</v>
      </c>
    </row>
    <row r="57" spans="1:2">
      <c r="A57" s="39" t="s">
        <v>26</v>
      </c>
      <c r="B57" s="40"/>
    </row>
    <row r="58" spans="1:2">
      <c r="A58" s="6" t="s">
        <v>23</v>
      </c>
      <c r="B58" s="6" t="s">
        <v>0</v>
      </c>
    </row>
    <row r="59" spans="1:2">
      <c r="A59" s="6">
        <v>25</v>
      </c>
      <c r="B59" s="30">
        <v>1.2404664276919101E-5</v>
      </c>
    </row>
    <row r="60" spans="1:2">
      <c r="A60" s="6">
        <v>26</v>
      </c>
      <c r="B60" s="30">
        <v>1.6363410787446403E-5</v>
      </c>
    </row>
    <row r="61" spans="1:2">
      <c r="A61" s="6">
        <v>27</v>
      </c>
      <c r="B61" s="30">
        <v>1.1288161524762701E-5</v>
      </c>
    </row>
    <row r="62" spans="1:2">
      <c r="A62" s="6">
        <v>28</v>
      </c>
      <c r="B62" s="30">
        <v>1.60370583611027E-5</v>
      </c>
    </row>
    <row r="63" spans="1:2">
      <c r="A63" s="6">
        <v>29</v>
      </c>
      <c r="B63" s="30">
        <v>9.9177158251728998E-6</v>
      </c>
    </row>
    <row r="64" spans="1:2">
      <c r="A64" s="6">
        <v>30</v>
      </c>
      <c r="B64" s="30">
        <v>1.4503847472048401E-5</v>
      </c>
    </row>
    <row r="65" spans="1:2">
      <c r="A65" s="6">
        <v>31</v>
      </c>
      <c r="B65" s="30">
        <v>8.8604139488131018E-6</v>
      </c>
    </row>
    <row r="66" spans="1:2">
      <c r="A66" s="6">
        <v>32</v>
      </c>
      <c r="B66" s="30">
        <v>1.37568717358476E-5</v>
      </c>
    </row>
    <row r="67" spans="1:2">
      <c r="A67" s="6">
        <v>33</v>
      </c>
      <c r="B67" s="30">
        <v>8.6911055489131006E-6</v>
      </c>
    </row>
    <row r="68" spans="1:2">
      <c r="A68" s="6">
        <v>34</v>
      </c>
      <c r="B68" s="30">
        <v>1.31838679986612E-5</v>
      </c>
    </row>
    <row r="69" spans="1:2">
      <c r="A69" s="6">
        <v>35</v>
      </c>
      <c r="B69" s="30">
        <v>8.8384368771708997E-6</v>
      </c>
    </row>
    <row r="70" spans="1:2">
      <c r="A70" s="6">
        <v>36</v>
      </c>
      <c r="B70" s="30">
        <v>1.2629853843346501E-5</v>
      </c>
    </row>
    <row r="71" spans="1:2">
      <c r="A71" s="6">
        <v>37</v>
      </c>
      <c r="B71" s="30">
        <v>9.3217019712794011E-6</v>
      </c>
    </row>
    <row r="72" spans="1:2">
      <c r="A72" s="6">
        <v>38</v>
      </c>
      <c r="B72" s="30">
        <v>1.22568031220435E-5</v>
      </c>
    </row>
    <row r="73" spans="1:2">
      <c r="A73" s="6">
        <v>39</v>
      </c>
      <c r="B73" s="30">
        <v>1.03569140631423E-5</v>
      </c>
    </row>
    <row r="74" spans="1:2">
      <c r="A74" s="6">
        <v>40</v>
      </c>
      <c r="B74" s="30">
        <v>1.24853533684693E-5</v>
      </c>
    </row>
    <row r="75" spans="1:2">
      <c r="A75" s="6">
        <v>41</v>
      </c>
      <c r="B75" s="30">
        <v>1.2078068506038101E-5</v>
      </c>
    </row>
    <row r="76" spans="1:2">
      <c r="A76" s="6">
        <v>42</v>
      </c>
      <c r="B76" s="30">
        <v>1.3167019344356501E-5</v>
      </c>
    </row>
    <row r="77" spans="1:2">
      <c r="A77" s="6">
        <v>43</v>
      </c>
      <c r="B77" s="30">
        <v>1.44568248420827E-5</v>
      </c>
    </row>
    <row r="78" spans="1:2">
      <c r="A78" s="6">
        <v>44</v>
      </c>
      <c r="B78" s="30">
        <v>1.42662659093737E-5</v>
      </c>
    </row>
    <row r="79" spans="1:2">
      <c r="A79" s="6">
        <v>45</v>
      </c>
      <c r="B79" s="30">
        <v>1.5418893602578802E-5</v>
      </c>
    </row>
    <row r="80" spans="1:2">
      <c r="A80" s="6">
        <v>46</v>
      </c>
      <c r="B80" s="30">
        <v>1.2751501710543301E-5</v>
      </c>
    </row>
    <row r="81" spans="1:2">
      <c r="A81" s="6">
        <v>47</v>
      </c>
      <c r="B81" s="30">
        <v>1.18142421947786E-5</v>
      </c>
    </row>
    <row r="82" spans="1:2">
      <c r="A82" s="6">
        <v>48</v>
      </c>
      <c r="B82" s="30">
        <v>1.0953539136092E-5</v>
      </c>
    </row>
    <row r="83" spans="1:2">
      <c r="A83" s="6">
        <v>49</v>
      </c>
      <c r="B83" s="30">
        <v>9.2458849286570996E-6</v>
      </c>
    </row>
    <row r="84" spans="1:2">
      <c r="A84" s="6">
        <v>50</v>
      </c>
      <c r="B84" s="30">
        <v>9.6907754082891002E-6</v>
      </c>
    </row>
  </sheetData>
  <mergeCells count="3">
    <mergeCell ref="A1:B1"/>
    <mergeCell ref="A29:B29"/>
    <mergeCell ref="A57:B5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convergence</vt:lpstr>
      <vt:lpstr>embedded bond option</vt:lpstr>
      <vt:lpstr>caplet</vt:lpstr>
      <vt:lpstr>stage vs. RMSE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2008-06-19T05:38:21Z</dcterms:created>
  <dcterms:modified xsi:type="dcterms:W3CDTF">2008-07-20T10:12:37Z</dcterms:modified>
</cp:coreProperties>
</file>