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315" windowHeight="8475"/>
  </bookViews>
  <sheets>
    <sheet name="工作表1" sheetId="1" r:id="rId1"/>
    <sheet name="工作表2" sheetId="2" r:id="rId2"/>
    <sheet name="工作表3" sheetId="3" r:id="rId3"/>
  </sheets>
  <calcPr calcId="145621"/>
</workbook>
</file>

<file path=xl/calcChain.xml><?xml version="1.0" encoding="utf-8"?>
<calcChain xmlns="http://schemas.openxmlformats.org/spreadsheetml/2006/main">
  <c r="F193" i="1" l="1"/>
  <c r="I193" i="1" s="1"/>
  <c r="I95" i="1"/>
  <c r="L139" i="1"/>
  <c r="J106" i="1"/>
  <c r="G106" i="1"/>
  <c r="H106" i="1"/>
  <c r="I106" i="1"/>
  <c r="H193" i="1"/>
  <c r="K139" i="1"/>
  <c r="H194" i="1"/>
  <c r="G193" i="1"/>
  <c r="J139" i="1"/>
  <c r="G95" i="1"/>
  <c r="J131" i="1"/>
  <c r="I112" i="1"/>
  <c r="K131" i="1" l="1"/>
  <c r="K132" i="1"/>
  <c r="K133" i="1"/>
  <c r="K134" i="1"/>
  <c r="K135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12" i="1"/>
  <c r="K95" i="1"/>
  <c r="K96" i="1"/>
  <c r="K97" i="1"/>
  <c r="K98" i="1"/>
  <c r="K99" i="1"/>
  <c r="K100" i="1"/>
  <c r="K101" i="1"/>
  <c r="K102" i="1"/>
  <c r="K103" i="1"/>
  <c r="K104" i="1"/>
  <c r="K105" i="1"/>
  <c r="J132" i="1" l="1"/>
  <c r="J133" i="1"/>
  <c r="J134" i="1"/>
  <c r="J135" i="1"/>
  <c r="I132" i="1"/>
  <c r="I133" i="1"/>
  <c r="I134" i="1"/>
  <c r="I135" i="1"/>
  <c r="H132" i="1"/>
  <c r="H133" i="1"/>
  <c r="H134" i="1"/>
  <c r="H135" i="1"/>
  <c r="G135" i="1"/>
  <c r="G132" i="1"/>
  <c r="G133" i="1"/>
  <c r="G134" i="1"/>
  <c r="I131" i="1"/>
  <c r="H131" i="1"/>
  <c r="G131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12" i="1"/>
  <c r="J96" i="1"/>
  <c r="J97" i="1"/>
  <c r="J98" i="1"/>
  <c r="J99" i="1"/>
  <c r="J100" i="1"/>
  <c r="J101" i="1"/>
  <c r="J102" i="1"/>
  <c r="J103" i="1"/>
  <c r="J104" i="1"/>
  <c r="J105" i="1"/>
  <c r="I96" i="1"/>
  <c r="I97" i="1"/>
  <c r="I98" i="1"/>
  <c r="I99" i="1"/>
  <c r="I100" i="1"/>
  <c r="I101" i="1"/>
  <c r="I102" i="1"/>
  <c r="I103" i="1"/>
  <c r="I104" i="1"/>
  <c r="I105" i="1"/>
  <c r="H96" i="1"/>
  <c r="H97" i="1"/>
  <c r="H98" i="1"/>
  <c r="H99" i="1"/>
  <c r="H100" i="1"/>
  <c r="H101" i="1"/>
  <c r="H102" i="1"/>
  <c r="H103" i="1"/>
  <c r="H104" i="1"/>
  <c r="H105" i="1"/>
  <c r="G96" i="1"/>
  <c r="G97" i="1"/>
  <c r="G98" i="1"/>
  <c r="G99" i="1"/>
  <c r="G100" i="1"/>
  <c r="G101" i="1"/>
  <c r="G102" i="1"/>
  <c r="G103" i="1"/>
  <c r="G104" i="1"/>
  <c r="G105" i="1"/>
  <c r="J95" i="1"/>
  <c r="H95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39" i="1"/>
  <c r="H67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39" i="1"/>
  <c r="K109" i="1" l="1"/>
  <c r="K91" i="1" l="1"/>
  <c r="J59" i="1"/>
  <c r="H63" i="1" s="1"/>
  <c r="H64" i="1" l="1"/>
  <c r="H65" i="1"/>
  <c r="H66" i="1"/>
  <c r="H68" i="1"/>
  <c r="H69" i="1"/>
  <c r="H70" i="1"/>
  <c r="H71" i="1"/>
  <c r="H72" i="1"/>
  <c r="H73" i="1"/>
  <c r="G64" i="1"/>
  <c r="G65" i="1"/>
  <c r="G66" i="1"/>
  <c r="G67" i="1"/>
  <c r="G68" i="1"/>
  <c r="G69" i="1"/>
  <c r="G70" i="1"/>
  <c r="G71" i="1"/>
  <c r="G72" i="1"/>
  <c r="G73" i="1"/>
  <c r="G63" i="1"/>
  <c r="P32" i="1" l="1"/>
  <c r="O32" i="1"/>
  <c r="N32" i="1"/>
  <c r="M32" i="1"/>
  <c r="L32" i="1"/>
  <c r="K32" i="1"/>
  <c r="H47" i="1"/>
  <c r="K47" i="1"/>
  <c r="L47" i="1"/>
  <c r="M48" i="1"/>
  <c r="M49" i="1"/>
  <c r="M50" i="1"/>
  <c r="M51" i="1"/>
  <c r="M52" i="1"/>
  <c r="M53" i="1"/>
  <c r="M54" i="1"/>
  <c r="M55" i="1"/>
  <c r="M47" i="1"/>
  <c r="J47" i="1"/>
  <c r="I47" i="1"/>
  <c r="L48" i="1" l="1"/>
  <c r="L49" i="1"/>
  <c r="L50" i="1"/>
  <c r="L51" i="1"/>
  <c r="L52" i="1"/>
  <c r="L53" i="1"/>
  <c r="L54" i="1"/>
  <c r="L55" i="1"/>
  <c r="K48" i="1"/>
  <c r="K49" i="1"/>
  <c r="K50" i="1"/>
  <c r="K51" i="1"/>
  <c r="K52" i="1"/>
  <c r="K53" i="1"/>
  <c r="K54" i="1"/>
  <c r="K55" i="1"/>
  <c r="J48" i="1"/>
  <c r="J49" i="1"/>
  <c r="J50" i="1"/>
  <c r="J51" i="1"/>
  <c r="J52" i="1"/>
  <c r="J53" i="1"/>
  <c r="J54" i="1"/>
  <c r="J55" i="1"/>
  <c r="I48" i="1"/>
  <c r="I49" i="1"/>
  <c r="I50" i="1"/>
  <c r="I51" i="1"/>
  <c r="I52" i="1"/>
  <c r="I53" i="1"/>
  <c r="I54" i="1"/>
  <c r="I55" i="1"/>
  <c r="H48" i="1"/>
  <c r="H49" i="1"/>
  <c r="H50" i="1"/>
  <c r="H51" i="1"/>
  <c r="H52" i="1"/>
  <c r="H53" i="1"/>
  <c r="H54" i="1"/>
  <c r="H55" i="1"/>
  <c r="S33" i="1"/>
  <c r="S34" i="1"/>
  <c r="S35" i="1"/>
  <c r="S36" i="1"/>
  <c r="S37" i="1"/>
  <c r="S32" i="1"/>
  <c r="R33" i="1"/>
  <c r="R34" i="1"/>
  <c r="R35" i="1"/>
  <c r="R36" i="1"/>
  <c r="R37" i="1"/>
  <c r="R32" i="1"/>
  <c r="Q33" i="1"/>
  <c r="Q34" i="1"/>
  <c r="Q35" i="1"/>
  <c r="Q36" i="1"/>
  <c r="Q37" i="1"/>
  <c r="Q32" i="1"/>
  <c r="P33" i="1"/>
  <c r="P34" i="1"/>
  <c r="P35" i="1"/>
  <c r="P36" i="1"/>
  <c r="P37" i="1"/>
  <c r="O33" i="1"/>
  <c r="O34" i="1"/>
  <c r="O35" i="1"/>
  <c r="O36" i="1"/>
  <c r="O37" i="1"/>
  <c r="N33" i="1"/>
  <c r="N34" i="1"/>
  <c r="N35" i="1"/>
  <c r="N36" i="1"/>
  <c r="N37" i="1"/>
  <c r="M33" i="1"/>
  <c r="M34" i="1"/>
  <c r="M35" i="1"/>
  <c r="M36" i="1"/>
  <c r="M37" i="1"/>
  <c r="L33" i="1"/>
  <c r="L34" i="1"/>
  <c r="L35" i="1"/>
  <c r="L36" i="1"/>
  <c r="L37" i="1"/>
  <c r="K33" i="1"/>
  <c r="K34" i="1"/>
  <c r="K35" i="1"/>
  <c r="K36" i="1"/>
  <c r="K37" i="1"/>
  <c r="J33" i="1"/>
  <c r="J34" i="1"/>
  <c r="J35" i="1"/>
  <c r="J36" i="1"/>
  <c r="J37" i="1"/>
  <c r="J32" i="1"/>
  <c r="I33" i="1"/>
  <c r="I34" i="1"/>
  <c r="I35" i="1"/>
  <c r="I36" i="1"/>
  <c r="I37" i="1"/>
  <c r="I32" i="1"/>
  <c r="H32" i="1"/>
  <c r="H33" i="1"/>
  <c r="H34" i="1"/>
  <c r="H35" i="1"/>
  <c r="H36" i="1"/>
  <c r="H37" i="1"/>
  <c r="J2" i="1" l="1"/>
  <c r="K2" i="1" s="1"/>
  <c r="L2" i="1" s="1"/>
  <c r="M2" i="1" s="1"/>
  <c r="C11" i="1" l="1"/>
  <c r="E13" i="1" s="1"/>
  <c r="C7" i="1"/>
  <c r="E9" i="1" s="1"/>
  <c r="E5" i="1" l="1"/>
  <c r="I64" i="1" l="1"/>
  <c r="J64" i="1" s="1"/>
  <c r="I63" i="1"/>
  <c r="J63" i="1" s="1"/>
  <c r="I66" i="1"/>
  <c r="J66" i="1" s="1"/>
  <c r="I68" i="1"/>
  <c r="J68" i="1" s="1"/>
  <c r="I70" i="1"/>
  <c r="J70" i="1" s="1"/>
  <c r="I72" i="1"/>
  <c r="J72" i="1" s="1"/>
  <c r="I65" i="1"/>
  <c r="J65" i="1" s="1"/>
  <c r="I67" i="1"/>
  <c r="J67" i="1" s="1"/>
  <c r="I69" i="1"/>
  <c r="J69" i="1" s="1"/>
  <c r="I71" i="1"/>
  <c r="J71" i="1" s="1"/>
  <c r="I73" i="1"/>
  <c r="J73" i="1" s="1"/>
  <c r="H6" i="1"/>
  <c r="H9" i="1" s="1"/>
  <c r="J6" i="1"/>
  <c r="J9" i="1" s="1"/>
  <c r="L6" i="1"/>
  <c r="L9" i="1" s="1"/>
  <c r="N6" i="1"/>
  <c r="N9" i="1" s="1"/>
  <c r="P6" i="1"/>
  <c r="P9" i="1" s="1"/>
  <c r="R6" i="1"/>
  <c r="R9" i="1" s="1"/>
  <c r="I6" i="1"/>
  <c r="I9" i="1" s="1"/>
  <c r="K6" i="1"/>
  <c r="K9" i="1" s="1"/>
  <c r="M6" i="1"/>
  <c r="M9" i="1" s="1"/>
  <c r="O6" i="1"/>
  <c r="O9" i="1" s="1"/>
  <c r="Q6" i="1"/>
  <c r="Q9" i="1" s="1"/>
</calcChain>
</file>

<file path=xl/sharedStrings.xml><?xml version="1.0" encoding="utf-8"?>
<sst xmlns="http://schemas.openxmlformats.org/spreadsheetml/2006/main" count="110" uniqueCount="81">
  <si>
    <t>CB_face</t>
  </si>
  <si>
    <t>Coupon rate of CB</t>
  </si>
  <si>
    <t>sigma</t>
  </si>
  <si>
    <t>delta T</t>
  </si>
  <si>
    <t>rf</t>
  </si>
  <si>
    <t>tax rate</t>
  </si>
  <si>
    <t>converted rate</t>
  </si>
  <si>
    <t>N</t>
  </si>
  <si>
    <t>n</t>
  </si>
  <si>
    <t>u</t>
  </si>
  <si>
    <t>d</t>
  </si>
  <si>
    <t>p</t>
  </si>
  <si>
    <t>q</t>
  </si>
  <si>
    <t>bankruptcy cost</t>
  </si>
  <si>
    <t>t=0</t>
  </si>
  <si>
    <t>t=1</t>
  </si>
  <si>
    <t>t=2</t>
  </si>
  <si>
    <t>Equity</t>
    <phoneticPr fontId="1" type="noConversion"/>
  </si>
  <si>
    <t>Stock</t>
    <phoneticPr fontId="1" type="noConversion"/>
  </si>
  <si>
    <t>股價</t>
    <phoneticPr fontId="1" type="noConversion"/>
  </si>
  <si>
    <t>a</t>
    <phoneticPr fontId="1" type="noConversion"/>
  </si>
  <si>
    <t>b</t>
    <phoneticPr fontId="1" type="noConversion"/>
  </si>
  <si>
    <t>持有比例</t>
    <phoneticPr fontId="1" type="noConversion"/>
  </si>
  <si>
    <t>股價</t>
    <phoneticPr fontId="1" type="noConversion"/>
  </si>
  <si>
    <t>Stock</t>
    <phoneticPr fontId="1" type="noConversion"/>
  </si>
  <si>
    <t>If two CB holders 持有比例 equal</t>
    <phoneticPr fontId="1" type="noConversion"/>
  </si>
  <si>
    <t>holder b 轉換比例</t>
    <phoneticPr fontId="1" type="noConversion"/>
  </si>
  <si>
    <t>If two CB holders 持有比例懸殊</t>
    <phoneticPr fontId="1" type="noConversion"/>
  </si>
  <si>
    <t>a</t>
    <phoneticPr fontId="1" type="noConversion"/>
  </si>
  <si>
    <t>b</t>
    <phoneticPr fontId="1" type="noConversion"/>
  </si>
  <si>
    <t>a</t>
    <phoneticPr fontId="1" type="noConversion"/>
  </si>
  <si>
    <t>a</t>
    <phoneticPr fontId="1" type="noConversion"/>
  </si>
  <si>
    <t>a</t>
    <phoneticPr fontId="1" type="noConversion"/>
  </si>
  <si>
    <t>holder a 轉換比例</t>
    <phoneticPr fontId="1" type="noConversion"/>
  </si>
  <si>
    <t>b</t>
    <phoneticPr fontId="1" type="noConversion"/>
  </si>
  <si>
    <t>上期轉換0% 本期轉換y%</t>
    <phoneticPr fontId="1" type="noConversion"/>
  </si>
  <si>
    <t>a</t>
    <phoneticPr fontId="1" type="noConversion"/>
  </si>
  <si>
    <t>b</t>
    <phoneticPr fontId="1" type="noConversion"/>
  </si>
  <si>
    <t>持有比例</t>
    <phoneticPr fontId="1" type="noConversion"/>
  </si>
  <si>
    <t>當a轉換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</si>
  <si>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</si>
  <si>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</si>
  <si>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</si>
  <si>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Z</t>
    <phoneticPr fontId="1" type="noConversion"/>
  </si>
  <si>
    <t>b最佳轉換比例</t>
    <phoneticPr fontId="1" type="noConversion"/>
  </si>
  <si>
    <t>b</t>
    <phoneticPr fontId="1" type="noConversion"/>
  </si>
  <si>
    <t>當b轉換</t>
    <phoneticPr fontId="1" type="noConversion"/>
  </si>
  <si>
    <t>P'</t>
    <phoneticPr fontId="1" type="noConversion"/>
  </si>
  <si>
    <t>Q'</t>
    <phoneticPr fontId="1" type="noConversion"/>
  </si>
  <si>
    <t>R'</t>
    <phoneticPr fontId="1" type="noConversion"/>
  </si>
  <si>
    <t>a的最佳轉換比例</t>
    <phoneticPr fontId="1" type="noConversion"/>
  </si>
  <si>
    <t>a</t>
    <phoneticPr fontId="1" type="noConversion"/>
  </si>
  <si>
    <t>b</t>
    <phoneticPr fontId="1" type="noConversion"/>
  </si>
  <si>
    <t>因為持有比例為50%，50%，所以我省略這步，直接把X、Y座標對調</t>
    <phoneticPr fontId="1" type="noConversion"/>
  </si>
  <si>
    <t>持有比例</t>
    <phoneticPr fontId="1" type="noConversion"/>
  </si>
  <si>
    <t>deltaT</t>
    <phoneticPr fontId="1" type="noConversion"/>
  </si>
  <si>
    <t>Z</t>
    <phoneticPr fontId="1" type="noConversion"/>
  </si>
  <si>
    <t>持有者</t>
    <phoneticPr fontId="1" type="noConversion"/>
  </si>
  <si>
    <t>前一期轉換比例</t>
    <phoneticPr fontId="1" type="noConversion"/>
  </si>
  <si>
    <t>a</t>
    <phoneticPr fontId="1" type="noConversion"/>
  </si>
  <si>
    <t>b</t>
    <phoneticPr fontId="1" type="noConversion"/>
  </si>
  <si>
    <t>當持有者1轉換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</si>
  <si>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</si>
  <si>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</si>
  <si>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</si>
  <si>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持有者2的最佳轉換比例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</si>
  <si>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</si>
  <si>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</si>
  <si>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</si>
  <si>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持有者1的最佳轉換比例</t>
    <phoneticPr fontId="1" type="noConversion"/>
  </si>
  <si>
    <t>當持有者2轉換</t>
    <phoneticPr fontId="1" type="noConversion"/>
  </si>
  <si>
    <t>alpha</t>
    <phoneticPr fontId="1" type="noConversion"/>
  </si>
  <si>
    <t>B</t>
    <phoneticPr fontId="1" type="noConversion"/>
  </si>
  <si>
    <t>b</t>
    <phoneticPr fontId="1" type="noConversion"/>
  </si>
  <si>
    <t>a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</si>
  <si>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</si>
  <si>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</si>
  <si>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</si>
  <si>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P'</t>
    <phoneticPr fontId="1" type="noConversion"/>
  </si>
  <si>
    <t>Q'</t>
    <phoneticPr fontId="1" type="noConversion"/>
  </si>
  <si>
    <t>R'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</si>
</sst>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"/>
    <numFmt numFmtId="177" formatCode="0_ "/>
    <numFmt numFmtId="178" formatCode="0.00_);[Red]\(0.00\)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</borders>
  <cellStyleXfs count="4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9" fontId="0" fillId="0" borderId="0" xfId="0" applyNumberFormat="1">
      <alignment vertical="center"/>
    </xf>
    <xf numFmtId="2" fontId="0" fillId="0" borderId="0" xfId="0" applyNumberFormat="1">
      <alignment vertical="center"/>
    </xf>
    <xf numFmtId="43" fontId="0" fillId="0" borderId="0" xfId="1" applyFont="1">
      <alignment vertical="center"/>
    </xf>
    <xf numFmtId="43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0" fontId="0" fillId="0" borderId="0" xfId="2" applyNumberFormat="1" applyFont="1">
      <alignment vertical="center"/>
    </xf>
    <xf numFmtId="177" fontId="0" fillId="0" borderId="0" xfId="3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2" applyNumberFormat="1" applyFont="1">
      <alignment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02495589690633"/>
          <c:y val="6.9919072615923006E-2"/>
          <c:w val="0.60850544925278183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v>給定X，Y的最佳轉換</c:v>
          </c:tx>
          <c:xVal>
            <c:numRef>
              <c:f>工作表1!$L$63:$L$73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工作表1!$M$63:$M$73</c:f>
              <c:numCache>
                <c:formatCode>0.00%</c:formatCode>
                <c:ptCount val="11"/>
                <c:pt idx="0">
                  <c:v>0.30515864914088342</c:v>
                </c:pt>
                <c:pt idx="1">
                  <c:v>0.29094326667945603</c:v>
                </c:pt>
                <c:pt idx="2">
                  <c:v>0.27549988005756543</c:v>
                </c:pt>
                <c:pt idx="3">
                  <c:v>0.25894685335083678</c:v>
                </c:pt>
                <c:pt idx="4">
                  <c:v>0.24138467590631069</c:v>
                </c:pt>
                <c:pt idx="5">
                  <c:v>0.22289952759811199</c:v>
                </c:pt>
                <c:pt idx="6">
                  <c:v>0.20356597876946381</c:v>
                </c:pt>
                <c:pt idx="7">
                  <c:v>0.18344906849297737</c:v>
                </c:pt>
                <c:pt idx="8">
                  <c:v>0.16260592763905518</c:v>
                </c:pt>
                <c:pt idx="9">
                  <c:v>0.1410870629817299</c:v>
                </c:pt>
                <c:pt idx="10">
                  <c:v>0.11893738504512608</c:v>
                </c:pt>
              </c:numCache>
            </c:numRef>
          </c:yVal>
          <c:smooth val="1"/>
        </c:ser>
        <c:ser>
          <c:idx val="1"/>
          <c:order val="1"/>
          <c:tx>
            <c:v>給定Y，X的最佳轉換</c:v>
          </c:tx>
          <c:xVal>
            <c:numRef>
              <c:f>工作表1!$L$76:$L$86</c:f>
              <c:numCache>
                <c:formatCode>0.00%</c:formatCode>
                <c:ptCount val="11"/>
                <c:pt idx="0">
                  <c:v>0.30515864914088342</c:v>
                </c:pt>
                <c:pt idx="1">
                  <c:v>0.29094326667945603</c:v>
                </c:pt>
                <c:pt idx="2">
                  <c:v>0.27549988005756543</c:v>
                </c:pt>
                <c:pt idx="3">
                  <c:v>0.25894685335083678</c:v>
                </c:pt>
                <c:pt idx="4">
                  <c:v>0.24138467590631069</c:v>
                </c:pt>
                <c:pt idx="5">
                  <c:v>0.22289952759811199</c:v>
                </c:pt>
                <c:pt idx="6">
                  <c:v>0.20356597876946381</c:v>
                </c:pt>
                <c:pt idx="7">
                  <c:v>0.18344906849297737</c:v>
                </c:pt>
                <c:pt idx="8">
                  <c:v>0.16260592763905518</c:v>
                </c:pt>
                <c:pt idx="9">
                  <c:v>0.1410870629817299</c:v>
                </c:pt>
                <c:pt idx="10">
                  <c:v>0.11893738504512608</c:v>
                </c:pt>
              </c:numCache>
            </c:numRef>
          </c:xVal>
          <c:yVal>
            <c:numRef>
              <c:f>工作表1!$M$76:$M$86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23648"/>
        <c:axId val="96925184"/>
      </c:scatterChart>
      <c:valAx>
        <c:axId val="96923648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96925184"/>
        <c:crosses val="autoZero"/>
        <c:crossBetween val="midCat"/>
      </c:valAx>
      <c:valAx>
        <c:axId val="969251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69236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持有者b最佳轉換比例</c:v>
          </c:tx>
          <c:xVal>
            <c:numRef>
              <c:f>工作表1!$F$95:$F$105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工作表1!$J$95:$J$105</c:f>
              <c:numCache>
                <c:formatCode>0.00%</c:formatCode>
                <c:ptCount val="11"/>
                <c:pt idx="0">
                  <c:v>0.30515864914088342</c:v>
                </c:pt>
                <c:pt idx="1">
                  <c:v>0.29094326667945603</c:v>
                </c:pt>
                <c:pt idx="2">
                  <c:v>0.27549988005756543</c:v>
                </c:pt>
                <c:pt idx="3">
                  <c:v>0.25894685335083678</c:v>
                </c:pt>
                <c:pt idx="4">
                  <c:v>0.24138467590631069</c:v>
                </c:pt>
                <c:pt idx="5">
                  <c:v>0.22289952759811199</c:v>
                </c:pt>
                <c:pt idx="6">
                  <c:v>0.20356597876946381</c:v>
                </c:pt>
                <c:pt idx="7">
                  <c:v>0.18344906849297943</c:v>
                </c:pt>
                <c:pt idx="8">
                  <c:v>0.16260592763905166</c:v>
                </c:pt>
                <c:pt idx="9">
                  <c:v>0.14108706298172702</c:v>
                </c:pt>
                <c:pt idx="10">
                  <c:v>0.11893738504512608</c:v>
                </c:pt>
              </c:numCache>
            </c:numRef>
          </c:yVal>
          <c:smooth val="1"/>
        </c:ser>
        <c:ser>
          <c:idx val="1"/>
          <c:order val="1"/>
          <c:tx>
            <c:v>持有者a最佳轉換比例</c:v>
          </c:tx>
          <c:xVal>
            <c:numRef>
              <c:f>工作表1!$J$95:$J$105</c:f>
              <c:numCache>
                <c:formatCode>0.00%</c:formatCode>
                <c:ptCount val="11"/>
                <c:pt idx="0">
                  <c:v>0.30515864914088342</c:v>
                </c:pt>
                <c:pt idx="1">
                  <c:v>0.29094326667945603</c:v>
                </c:pt>
                <c:pt idx="2">
                  <c:v>0.27549988005756543</c:v>
                </c:pt>
                <c:pt idx="3">
                  <c:v>0.25894685335083678</c:v>
                </c:pt>
                <c:pt idx="4">
                  <c:v>0.24138467590631069</c:v>
                </c:pt>
                <c:pt idx="5">
                  <c:v>0.22289952759811199</c:v>
                </c:pt>
                <c:pt idx="6">
                  <c:v>0.20356597876946381</c:v>
                </c:pt>
                <c:pt idx="7">
                  <c:v>0.18344906849297943</c:v>
                </c:pt>
                <c:pt idx="8">
                  <c:v>0.16260592763905166</c:v>
                </c:pt>
                <c:pt idx="9">
                  <c:v>0.14108706298172702</c:v>
                </c:pt>
                <c:pt idx="10">
                  <c:v>0.11893738504512608</c:v>
                </c:pt>
              </c:numCache>
            </c:numRef>
          </c:xVal>
          <c:yVal>
            <c:numRef>
              <c:f>工作表1!$F$95:$F$105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99584"/>
        <c:axId val="96501120"/>
      </c:scatterChart>
      <c:valAx>
        <c:axId val="96499584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96501120"/>
        <c:crosses val="autoZero"/>
        <c:crossBetween val="midCat"/>
      </c:valAx>
      <c:valAx>
        <c:axId val="965011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64995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持有者2最佳轉換比例</c:v>
          </c:tx>
          <c:xVal>
            <c:numRef>
              <c:f>工作表1!$F$112:$F$128</c:f>
              <c:numCache>
                <c:formatCode>0%</c:formatCode>
                <c:ptCount val="1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</c:numCache>
            </c:numRef>
          </c:xVal>
          <c:yVal>
            <c:numRef>
              <c:f>工作表1!$J$112:$J$128</c:f>
              <c:numCache>
                <c:formatCode>0.00%</c:formatCode>
                <c:ptCount val="1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0.18344906849297943</c:v>
                </c:pt>
                <c:pt idx="8">
                  <c:v>0.16260592763905166</c:v>
                </c:pt>
                <c:pt idx="9">
                  <c:v>0.14108706298172702</c:v>
                </c:pt>
                <c:pt idx="10">
                  <c:v>0.11893738504512608</c:v>
                </c:pt>
                <c:pt idx="11">
                  <c:v>9.619703955387035E-2</c:v>
                </c:pt>
                <c:pt idx="12">
                  <c:v>7.290208649402774E-2</c:v>
                </c:pt>
                <c:pt idx="13">
                  <c:v>4.9085059591725259E-2</c:v>
                </c:pt>
                <c:pt idx="14">
                  <c:v>2.4775430982801029E-2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持有者1最佳轉換比例</c:v>
          </c:tx>
          <c:xVal>
            <c:numRef>
              <c:f>工作表1!$J$131:$J$135</c:f>
              <c:numCache>
                <c:formatCode>0.00%</c:formatCode>
                <c:ptCount val="5"/>
                <c:pt idx="0">
                  <c:v>0.30515864914088342</c:v>
                </c:pt>
                <c:pt idx="1">
                  <c:v>0.29094326667945603</c:v>
                </c:pt>
                <c:pt idx="2">
                  <c:v>0.27549988005756543</c:v>
                </c:pt>
                <c:pt idx="3">
                  <c:v>0.25894685335083678</c:v>
                </c:pt>
                <c:pt idx="4">
                  <c:v>0.24138467590631069</c:v>
                </c:pt>
              </c:numCache>
            </c:numRef>
          </c:xVal>
          <c:yVal>
            <c:numRef>
              <c:f>工作表1!$F$131:$F$135</c:f>
              <c:numCache>
                <c:formatCode>0%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8448"/>
        <c:axId val="97129984"/>
      </c:scatterChart>
      <c:valAx>
        <c:axId val="97128448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97129984"/>
        <c:crosses val="autoZero"/>
        <c:crossBetween val="midCat"/>
      </c:valAx>
      <c:valAx>
        <c:axId val="971299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71284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772462817147856"/>
          <c:y val="0.13924795858850977"/>
          <c:w val="0.56251115485564307"/>
          <c:h val="0.68921660834062404"/>
        </c:manualLayout>
      </c:layout>
      <c:scatterChart>
        <c:scatterStyle val="smoothMarker"/>
        <c:varyColors val="0"/>
        <c:ser>
          <c:idx val="0"/>
          <c:order val="0"/>
          <c:tx>
            <c:v>CBValue with alpha=20% a=b=0</c:v>
          </c:tx>
          <c:marker>
            <c:symbol val="none"/>
          </c:marker>
          <c:xVal>
            <c:numRef>
              <c:f>工作表1!$F$139:$F$189</c:f>
              <c:numCache>
                <c:formatCode>0%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工作表1!$G$139:$G$189</c:f>
              <c:numCache>
                <c:formatCode>0.00_);[Red]\(0.00\)</c:formatCode>
                <c:ptCount val="51"/>
                <c:pt idx="0">
                  <c:v>5250</c:v>
                </c:pt>
                <c:pt idx="1">
                  <c:v>5250.6159695817487</c:v>
                </c:pt>
                <c:pt idx="2">
                  <c:v>5251.1954887218044</c:v>
                </c:pt>
                <c:pt idx="3">
                  <c:v>5251.7397769516729</c:v>
                </c:pt>
                <c:pt idx="4">
                  <c:v>5252.25</c:v>
                </c:pt>
                <c:pt idx="5">
                  <c:v>5252.727272727273</c:v>
                </c:pt>
                <c:pt idx="6">
                  <c:v>5253.1726618705034</c:v>
                </c:pt>
                <c:pt idx="7">
                  <c:v>5253.5871886120995</c:v>
                </c:pt>
                <c:pt idx="8">
                  <c:v>5253.9718309859154</c:v>
                </c:pt>
                <c:pt idx="9">
                  <c:v>5254.3275261324043</c:v>
                </c:pt>
                <c:pt idx="10">
                  <c:v>5254.6551724137935</c:v>
                </c:pt>
                <c:pt idx="11">
                  <c:v>5254.9556313993171</c:v>
                </c:pt>
                <c:pt idx="12">
                  <c:v>5255.22972972973</c:v>
                </c:pt>
                <c:pt idx="13">
                  <c:v>5255.478260869565</c:v>
                </c:pt>
                <c:pt idx="14">
                  <c:v>5255.7019867549679</c:v>
                </c:pt>
                <c:pt idx="15">
                  <c:v>5255.9016393442625</c:v>
                </c:pt>
                <c:pt idx="16">
                  <c:v>5256.0779220779223</c:v>
                </c:pt>
                <c:pt idx="17">
                  <c:v>5256.2315112540182</c:v>
                </c:pt>
                <c:pt idx="18">
                  <c:v>5256.3630573248411</c:v>
                </c:pt>
                <c:pt idx="19">
                  <c:v>5256.4731861198743</c:v>
                </c:pt>
                <c:pt idx="20">
                  <c:v>5256.5625</c:v>
                </c:pt>
                <c:pt idx="21">
                  <c:v>5256.6315789473683</c:v>
                </c:pt>
                <c:pt idx="22">
                  <c:v>5256.6809815950928</c:v>
                </c:pt>
                <c:pt idx="23">
                  <c:v>5256.711246200608</c:v>
                </c:pt>
                <c:pt idx="24">
                  <c:v>5256.7228915662654</c:v>
                </c:pt>
                <c:pt idx="25">
                  <c:v>5256.7164179104475</c:v>
                </c:pt>
                <c:pt idx="26">
                  <c:v>5256.6923076923076</c:v>
                </c:pt>
                <c:pt idx="27">
                  <c:v>5256.6510263929613</c:v>
                </c:pt>
                <c:pt idx="28">
                  <c:v>5256.5930232558139</c:v>
                </c:pt>
                <c:pt idx="29">
                  <c:v>5256.5187319884726</c:v>
                </c:pt>
                <c:pt idx="30">
                  <c:v>5256.4285714285716</c:v>
                </c:pt>
                <c:pt idx="31">
                  <c:v>5256.3229461756373</c:v>
                </c:pt>
                <c:pt idx="32">
                  <c:v>5256.2022471910113</c:v>
                </c:pt>
                <c:pt idx="33">
                  <c:v>5256.0668523676886</c:v>
                </c:pt>
                <c:pt idx="34">
                  <c:v>5255.9171270718234</c:v>
                </c:pt>
                <c:pt idx="35">
                  <c:v>5255.7534246575342</c:v>
                </c:pt>
                <c:pt idx="36">
                  <c:v>5255.576086956522</c:v>
                </c:pt>
                <c:pt idx="37">
                  <c:v>5255.3854447439353</c:v>
                </c:pt>
                <c:pt idx="38">
                  <c:v>5255.181818181818</c:v>
                </c:pt>
                <c:pt idx="39">
                  <c:v>5254.9655172413795</c:v>
                </c:pt>
                <c:pt idx="40">
                  <c:v>5254.7368421052633</c:v>
                </c:pt>
                <c:pt idx="41">
                  <c:v>5254.4960835509137</c:v>
                </c:pt>
                <c:pt idx="42">
                  <c:v>5254.2435233160622</c:v>
                </c:pt>
                <c:pt idx="43">
                  <c:v>5253.9794344473012</c:v>
                </c:pt>
                <c:pt idx="44">
                  <c:v>5253.7040816326535</c:v>
                </c:pt>
                <c:pt idx="45">
                  <c:v>5253.4177215189875</c:v>
                </c:pt>
                <c:pt idx="46">
                  <c:v>5253.1206030150752</c:v>
                </c:pt>
                <c:pt idx="47">
                  <c:v>5252.8129675810478</c:v>
                </c:pt>
                <c:pt idx="48">
                  <c:v>5252.4950495049507</c:v>
                </c:pt>
                <c:pt idx="49">
                  <c:v>5252.1670761670757</c:v>
                </c:pt>
                <c:pt idx="50">
                  <c:v>5251.8292682926831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2368"/>
        <c:axId val="97163904"/>
      </c:scatterChart>
      <c:valAx>
        <c:axId val="97162368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97163904"/>
        <c:crosses val="autoZero"/>
        <c:crossBetween val="midCat"/>
        <c:majorUnit val="0.1"/>
      </c:valAx>
      <c:valAx>
        <c:axId val="97163904"/>
        <c:scaling>
          <c:orientation val="minMax"/>
        </c:scaling>
        <c:delete val="0"/>
        <c:axPos val="l"/>
        <c:majorGridlines/>
        <c:numFmt formatCode="0.00_);[Red]\(0.00\)" sourceLinked="1"/>
        <c:majorTickMark val="out"/>
        <c:minorTickMark val="none"/>
        <c:tickLblPos val="nextTo"/>
        <c:crossAx val="971623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en-US"/>
              <a:t>CBValue </a:t>
            </a:r>
            <a:r>
              <a:rPr lang="zh-TW" altLang="en-US"/>
              <a:t>的斜率 </a:t>
            </a:r>
            <a:r>
              <a:rPr lang="en-US" altLang="zh-TW"/>
              <a:t>with alpha=20% a=b=0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CBValue 的斜率 (固定alpha=20%)</c:v>
          </c:tx>
          <c:marker>
            <c:symbol val="none"/>
          </c:marker>
          <c:xVal>
            <c:numRef>
              <c:f>工作表1!$F$139:$F$189</c:f>
              <c:numCache>
                <c:formatCode>0%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工作表1!$M$139:$M$189</c:f>
              <c:numCache>
                <c:formatCode>General</c:formatCode>
                <c:ptCount val="51"/>
                <c:pt idx="0">
                  <c:v>1072500</c:v>
                </c:pt>
                <c:pt idx="1">
                  <c:v>1033275</c:v>
                </c:pt>
                <c:pt idx="2">
                  <c:v>993600</c:v>
                </c:pt>
                <c:pt idx="3">
                  <c:v>953475</c:v>
                </c:pt>
                <c:pt idx="4">
                  <c:v>912900</c:v>
                </c:pt>
                <c:pt idx="5">
                  <c:v>871875</c:v>
                </c:pt>
                <c:pt idx="6">
                  <c:v>830400</c:v>
                </c:pt>
                <c:pt idx="7">
                  <c:v>788475</c:v>
                </c:pt>
                <c:pt idx="8">
                  <c:v>746100</c:v>
                </c:pt>
                <c:pt idx="9">
                  <c:v>703275</c:v>
                </c:pt>
                <c:pt idx="10">
                  <c:v>660000</c:v>
                </c:pt>
                <c:pt idx="11">
                  <c:v>616275</c:v>
                </c:pt>
                <c:pt idx="12">
                  <c:v>572100</c:v>
                </c:pt>
                <c:pt idx="13">
                  <c:v>527475</c:v>
                </c:pt>
                <c:pt idx="14">
                  <c:v>482400</c:v>
                </c:pt>
                <c:pt idx="15">
                  <c:v>436875</c:v>
                </c:pt>
                <c:pt idx="16">
                  <c:v>390900</c:v>
                </c:pt>
                <c:pt idx="17">
                  <c:v>344475</c:v>
                </c:pt>
                <c:pt idx="18">
                  <c:v>297600</c:v>
                </c:pt>
                <c:pt idx="19">
                  <c:v>250275</c:v>
                </c:pt>
                <c:pt idx="20">
                  <c:v>202500</c:v>
                </c:pt>
                <c:pt idx="21">
                  <c:v>154275</c:v>
                </c:pt>
                <c:pt idx="22">
                  <c:v>105600</c:v>
                </c:pt>
                <c:pt idx="23">
                  <c:v>56475</c:v>
                </c:pt>
                <c:pt idx="24">
                  <c:v>6900</c:v>
                </c:pt>
                <c:pt idx="25">
                  <c:v>-43125</c:v>
                </c:pt>
                <c:pt idx="26">
                  <c:v>-93600</c:v>
                </c:pt>
                <c:pt idx="27">
                  <c:v>-144525</c:v>
                </c:pt>
                <c:pt idx="28">
                  <c:v>-195900</c:v>
                </c:pt>
                <c:pt idx="29">
                  <c:v>-247725</c:v>
                </c:pt>
                <c:pt idx="30">
                  <c:v>-300000</c:v>
                </c:pt>
                <c:pt idx="31">
                  <c:v>-352725</c:v>
                </c:pt>
                <c:pt idx="32">
                  <c:v>-405900</c:v>
                </c:pt>
                <c:pt idx="33">
                  <c:v>-459525</c:v>
                </c:pt>
                <c:pt idx="34">
                  <c:v>-513600</c:v>
                </c:pt>
                <c:pt idx="35">
                  <c:v>-568125</c:v>
                </c:pt>
                <c:pt idx="36">
                  <c:v>-623100</c:v>
                </c:pt>
                <c:pt idx="37">
                  <c:v>-678525</c:v>
                </c:pt>
                <c:pt idx="38">
                  <c:v>-734400</c:v>
                </c:pt>
                <c:pt idx="39">
                  <c:v>-790725</c:v>
                </c:pt>
                <c:pt idx="40">
                  <c:v>-847500</c:v>
                </c:pt>
                <c:pt idx="41">
                  <c:v>-904725</c:v>
                </c:pt>
                <c:pt idx="42">
                  <c:v>-962400</c:v>
                </c:pt>
                <c:pt idx="43">
                  <c:v>-1020525</c:v>
                </c:pt>
                <c:pt idx="44">
                  <c:v>-1079100</c:v>
                </c:pt>
                <c:pt idx="45">
                  <c:v>-1138125</c:v>
                </c:pt>
                <c:pt idx="46">
                  <c:v>-1197600</c:v>
                </c:pt>
                <c:pt idx="47">
                  <c:v>-1257525</c:v>
                </c:pt>
                <c:pt idx="48">
                  <c:v>-1317900</c:v>
                </c:pt>
                <c:pt idx="49">
                  <c:v>-1378725</c:v>
                </c:pt>
                <c:pt idx="50">
                  <c:v>-1440000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72096"/>
        <c:axId val="111681920"/>
      </c:scatterChart>
      <c:valAx>
        <c:axId val="97172096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111681920"/>
        <c:crosses val="autoZero"/>
        <c:crossBetween val="midCat"/>
      </c:valAx>
      <c:valAx>
        <c:axId val="11168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71720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持有者b最佳轉換比例</c:v>
          </c:tx>
          <c:marker>
            <c:symbol val="none"/>
          </c:marker>
          <c:xVal>
            <c:numRef>
              <c:f>工作表1!$F$95:$F$105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工作表1!$J$95:$J$105</c:f>
              <c:numCache>
                <c:formatCode>0.00%</c:formatCode>
                <c:ptCount val="11"/>
                <c:pt idx="0">
                  <c:v>0.30515864914088342</c:v>
                </c:pt>
                <c:pt idx="1">
                  <c:v>0.29094326667945603</c:v>
                </c:pt>
                <c:pt idx="2">
                  <c:v>0.27549988005756543</c:v>
                </c:pt>
                <c:pt idx="3">
                  <c:v>0.25894685335083678</c:v>
                </c:pt>
                <c:pt idx="4">
                  <c:v>0.24138467590631069</c:v>
                </c:pt>
                <c:pt idx="5">
                  <c:v>0.22289952759811199</c:v>
                </c:pt>
                <c:pt idx="6">
                  <c:v>0.20356597876946381</c:v>
                </c:pt>
                <c:pt idx="7">
                  <c:v>0.18344906849297943</c:v>
                </c:pt>
                <c:pt idx="8">
                  <c:v>0.16260592763905166</c:v>
                </c:pt>
                <c:pt idx="9">
                  <c:v>0.14108706298172702</c:v>
                </c:pt>
                <c:pt idx="10">
                  <c:v>0.11893738504512608</c:v>
                </c:pt>
              </c:numCache>
            </c:numRef>
          </c:yVal>
          <c:smooth val="1"/>
        </c:ser>
        <c:ser>
          <c:idx val="1"/>
          <c:order val="1"/>
          <c:tx>
            <c:v>持有者a最佳轉換比例</c:v>
          </c:tx>
          <c:marker>
            <c:symbol val="none"/>
          </c:marker>
          <c:xVal>
            <c:numRef>
              <c:f>工作表1!$J$95:$J$105</c:f>
              <c:numCache>
                <c:formatCode>0.00%</c:formatCode>
                <c:ptCount val="11"/>
                <c:pt idx="0">
                  <c:v>0.30515864914088342</c:v>
                </c:pt>
                <c:pt idx="1">
                  <c:v>0.29094326667945603</c:v>
                </c:pt>
                <c:pt idx="2">
                  <c:v>0.27549988005756543</c:v>
                </c:pt>
                <c:pt idx="3">
                  <c:v>0.25894685335083678</c:v>
                </c:pt>
                <c:pt idx="4">
                  <c:v>0.24138467590631069</c:v>
                </c:pt>
                <c:pt idx="5">
                  <c:v>0.22289952759811199</c:v>
                </c:pt>
                <c:pt idx="6">
                  <c:v>0.20356597876946381</c:v>
                </c:pt>
                <c:pt idx="7">
                  <c:v>0.18344906849297943</c:v>
                </c:pt>
                <c:pt idx="8">
                  <c:v>0.16260592763905166</c:v>
                </c:pt>
                <c:pt idx="9">
                  <c:v>0.14108706298172702</c:v>
                </c:pt>
                <c:pt idx="10">
                  <c:v>0.11893738504512608</c:v>
                </c:pt>
              </c:numCache>
            </c:numRef>
          </c:xVal>
          <c:yVal>
            <c:numRef>
              <c:f>工作表1!$F$95:$F$105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yVal>
          <c:smooth val="1"/>
        </c:ser>
        <c:ser>
          <c:idx val="2"/>
          <c:order val="2"/>
          <c:tx>
            <c:v>alpha=beta</c:v>
          </c:tx>
          <c:marker>
            <c:symbol val="none"/>
          </c:marker>
          <c:xVal>
            <c:numRef>
              <c:f>工作表1!$F$139:$F$189</c:f>
              <c:numCache>
                <c:formatCode>0%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工作表1!$F$139:$F$189</c:f>
              <c:numCache>
                <c:formatCode>0%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61056"/>
        <c:axId val="113680384"/>
      </c:scatterChart>
      <c:valAx>
        <c:axId val="113661056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113680384"/>
        <c:crosses val="autoZero"/>
        <c:crossBetween val="midCat"/>
      </c:valAx>
      <c:valAx>
        <c:axId val="1136803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136610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285749</xdr:colOff>
      <xdr:row>70</xdr:row>
      <xdr:rowOff>100012</xdr:rowOff>
    </xdr:from>
    <xdr:to>
      <xdr:col>21</xdr:col>
      <xdr:colOff>485774</xdr:colOff>
      <xdr:row>83</xdr:row>
      <xdr:rowOff>119062</xdr:rowOff>
    </xdr:to>
    <xdr:graphicFrame macro="">
      <xdr:nvGraphicFramePr>
        <xdr:cNvPr id="13" name="圖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</xdr:colOff>
      <xdr:row>91</xdr:row>
      <xdr:rowOff>185737</xdr:rowOff>
    </xdr:from>
    <xdr:to>
      <xdr:col>18</xdr:col>
      <xdr:colOff>209550</xdr:colOff>
      <xdr:row>104</xdr:row>
      <xdr:rowOff>204787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419100</xdr:colOff>
      <xdr:row>112</xdr:row>
      <xdr:rowOff>61912</xdr:rowOff>
    </xdr:from>
    <xdr:to>
      <xdr:col>18</xdr:col>
      <xdr:colOff>590550</xdr:colOff>
      <xdr:row>125</xdr:row>
      <xdr:rowOff>80962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476250</xdr:colOff>
      <xdr:row>140</xdr:row>
      <xdr:rowOff>80962</xdr:rowOff>
    </xdr:from>
    <xdr:to>
      <xdr:col>11</xdr:col>
      <xdr:colOff>38100</xdr:colOff>
      <xdr:row>156</xdr:row>
      <xdr:rowOff>190500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466724</xdr:colOff>
      <xdr:row>157</xdr:row>
      <xdr:rowOff>90486</xdr:rowOff>
    </xdr:from>
    <xdr:to>
      <xdr:col>11</xdr:col>
      <xdr:colOff>57149</xdr:colOff>
      <xdr:row>172</xdr:row>
      <xdr:rowOff>19049</xdr:rowOff>
    </xdr:to>
    <xdr:graphicFrame macro="">
      <xdr:nvGraphicFramePr>
        <xdr:cNvPr id="7" name="圖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504824</xdr:colOff>
      <xdr:row>172</xdr:row>
      <xdr:rowOff>161924</xdr:rowOff>
    </xdr:from>
    <xdr:to>
      <xdr:col>11</xdr:col>
      <xdr:colOff>114299</xdr:colOff>
      <xdr:row>187</xdr:row>
      <xdr:rowOff>19049</xdr:rowOff>
    </xdr:to>
    <xdr:graphicFrame macro="">
      <xdr:nvGraphicFramePr>
        <xdr:cNvPr id="9" name="圖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5"/>
  <sheetViews>
    <sheetView tabSelected="1" topLeftCell="D187" workbookViewId="0">
      <selection activeCell="L111" sqref="L111"/>
    </sheetView>
  </sheetViews>
  <sheetFormatPr defaultRowHeight="16.5" x14ac:dyDescent="0.25"/>
  <cols>
    <col min="4" max="4" width="9.625" customWidth="1"/>
    <col min="5" max="5" width="9" bestFit="1" customWidth="1"/>
    <col min="6" max="6" width="17.25" bestFit="1" customWidth="1"/>
    <col min="7" max="7" width="15.5" customWidth="1"/>
    <col min="8" max="8" width="20.25" customWidth="1"/>
    <col min="9" max="9" width="14.75" bestFit="1" customWidth="1"/>
    <col min="10" max="10" width="24.75" bestFit="1" customWidth="1"/>
    <col min="11" max="11" width="11.75" bestFit="1" customWidth="1"/>
    <col min="12" max="13" width="9.75" bestFit="1" customWidth="1"/>
    <col min="14" max="14" width="9.75" customWidth="1"/>
    <col min="15" max="17" width="9.75" bestFit="1" customWidth="1"/>
    <col min="19" max="19" width="9.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8" x14ac:dyDescent="0.25">
      <c r="A2">
        <v>100</v>
      </c>
      <c r="B2">
        <v>0.05</v>
      </c>
      <c r="C2">
        <v>0.33</v>
      </c>
      <c r="D2">
        <v>1</v>
      </c>
      <c r="E2">
        <v>0.06</v>
      </c>
      <c r="F2">
        <v>0.2</v>
      </c>
      <c r="G2">
        <v>1.5</v>
      </c>
      <c r="H2">
        <v>100</v>
      </c>
      <c r="I2">
        <v>100</v>
      </c>
      <c r="J2">
        <f>EXP(C2*SQRT(D2))</f>
        <v>1.3909681284637803</v>
      </c>
      <c r="K2">
        <f>1/J2</f>
        <v>0.71892373343192617</v>
      </c>
      <c r="L2">
        <f>(EXP(E2*D2)-K2)/(J2-K2)</f>
        <v>0.51025321488944164</v>
      </c>
      <c r="M2">
        <f>1-L2</f>
        <v>0.48974678511055836</v>
      </c>
      <c r="N2">
        <v>0.4</v>
      </c>
    </row>
    <row r="4" spans="1:18" x14ac:dyDescent="0.25">
      <c r="A4" t="s">
        <v>14</v>
      </c>
      <c r="C4" t="s">
        <v>15</v>
      </c>
      <c r="E4" t="s">
        <v>16</v>
      </c>
      <c r="J4" s="7" t="s">
        <v>35</v>
      </c>
      <c r="K4" s="7"/>
    </row>
    <row r="5" spans="1:18" x14ac:dyDescent="0.25">
      <c r="E5" s="2">
        <f>C7*J2</f>
        <v>33810.496043675499</v>
      </c>
      <c r="G5" t="s">
        <v>17</v>
      </c>
      <c r="H5" s="1">
        <v>0</v>
      </c>
      <c r="I5" s="1">
        <v>0.1</v>
      </c>
      <c r="J5" s="1">
        <v>0.2</v>
      </c>
      <c r="K5" s="1">
        <v>0.3</v>
      </c>
      <c r="L5" s="1">
        <v>0.4</v>
      </c>
      <c r="M5" s="1">
        <v>0.5</v>
      </c>
      <c r="N5" s="1">
        <v>0.6</v>
      </c>
      <c r="O5" s="1">
        <v>0.7</v>
      </c>
      <c r="P5" s="1">
        <v>0.8</v>
      </c>
      <c r="Q5" s="1">
        <v>0.9</v>
      </c>
      <c r="R5" s="1">
        <v>1</v>
      </c>
    </row>
    <row r="6" spans="1:18" x14ac:dyDescent="0.25">
      <c r="D6" s="5"/>
      <c r="G6" s="1">
        <v>0</v>
      </c>
      <c r="H6" s="2">
        <f>MAX($E$9-(1-H5)*$I$2*$A$2*(1+$B$2*$D$2*(1-$F$2)),0)</f>
        <v>7075</v>
      </c>
      <c r="I6" s="2">
        <f t="shared" ref="I6:R6" si="0">MAX($E$9-(1-I5)*$I$2*$A$2*(1+$B$2*$D$2*(1-$F$2)),0)</f>
        <v>8115</v>
      </c>
      <c r="J6" s="2">
        <f t="shared" si="0"/>
        <v>9155</v>
      </c>
      <c r="K6" s="2">
        <f t="shared" si="0"/>
        <v>10195</v>
      </c>
      <c r="L6" s="2">
        <f t="shared" si="0"/>
        <v>11235</v>
      </c>
      <c r="M6" s="2">
        <f t="shared" si="0"/>
        <v>12275</v>
      </c>
      <c r="N6" s="2">
        <f t="shared" si="0"/>
        <v>13315</v>
      </c>
      <c r="O6" s="2">
        <f t="shared" si="0"/>
        <v>14355</v>
      </c>
      <c r="P6" s="2">
        <f t="shared" si="0"/>
        <v>15395</v>
      </c>
      <c r="Q6" s="2">
        <f t="shared" si="0"/>
        <v>16435</v>
      </c>
      <c r="R6" s="2">
        <f t="shared" si="0"/>
        <v>17475</v>
      </c>
    </row>
    <row r="7" spans="1:18" x14ac:dyDescent="0.25">
      <c r="C7">
        <f>A9*J2</f>
        <v>24307.16804490456</v>
      </c>
    </row>
    <row r="8" spans="1:18" x14ac:dyDescent="0.25">
      <c r="A8">
        <v>17500</v>
      </c>
      <c r="B8" s="5"/>
      <c r="D8" s="6"/>
      <c r="G8" t="s">
        <v>18</v>
      </c>
      <c r="H8" s="1">
        <v>0</v>
      </c>
      <c r="I8" s="1">
        <v>0.1</v>
      </c>
      <c r="J8" s="1">
        <v>0.2</v>
      </c>
      <c r="K8" s="1">
        <v>0.3</v>
      </c>
      <c r="L8" s="1">
        <v>0.4</v>
      </c>
      <c r="M8" s="1">
        <v>0.5</v>
      </c>
      <c r="N8" s="1">
        <v>0.6</v>
      </c>
      <c r="O8" s="1">
        <v>0.7</v>
      </c>
      <c r="P8" s="1">
        <v>0.8</v>
      </c>
      <c r="Q8" s="1">
        <v>0.9</v>
      </c>
      <c r="R8" s="1">
        <v>1</v>
      </c>
    </row>
    <row r="9" spans="1:18" x14ac:dyDescent="0.25">
      <c r="A9">
        <v>17475</v>
      </c>
      <c r="E9" s="7">
        <f>C7*K2</f>
        <v>17475</v>
      </c>
      <c r="G9" t="s">
        <v>19</v>
      </c>
      <c r="H9" s="2">
        <f>H6/($H$2+$G$2*$I$2*H8)</f>
        <v>70.75</v>
      </c>
      <c r="I9" s="2">
        <f t="shared" ref="I9:R9" si="1">I6/($H$2+$G$2*$I$2*I8)</f>
        <v>70.565217391304344</v>
      </c>
      <c r="J9" s="2">
        <f t="shared" si="1"/>
        <v>70.42307692307692</v>
      </c>
      <c r="K9" s="2">
        <f t="shared" si="1"/>
        <v>70.310344827586206</v>
      </c>
      <c r="L9" s="2">
        <f t="shared" si="1"/>
        <v>70.21875</v>
      </c>
      <c r="M9" s="2">
        <f t="shared" si="1"/>
        <v>70.142857142857139</v>
      </c>
      <c r="N9" s="2">
        <f t="shared" si="1"/>
        <v>70.078947368421055</v>
      </c>
      <c r="O9" s="2">
        <f t="shared" si="1"/>
        <v>70.024390243902445</v>
      </c>
      <c r="P9" s="2">
        <f t="shared" si="1"/>
        <v>69.977272727272734</v>
      </c>
      <c r="Q9" s="2">
        <f t="shared" si="1"/>
        <v>69.936170212765958</v>
      </c>
      <c r="R9" s="2">
        <f t="shared" si="1"/>
        <v>69.900000000000006</v>
      </c>
    </row>
    <row r="10" spans="1:18" x14ac:dyDescent="0.25">
      <c r="B10" s="6"/>
      <c r="D10" s="5"/>
    </row>
    <row r="11" spans="1:18" x14ac:dyDescent="0.25">
      <c r="C11">
        <f>A9*K2</f>
        <v>12563.192241722911</v>
      </c>
    </row>
    <row r="12" spans="1:18" x14ac:dyDescent="0.25">
      <c r="D12" s="6"/>
      <c r="G12" t="s">
        <v>24</v>
      </c>
      <c r="H12" t="s">
        <v>23</v>
      </c>
    </row>
    <row r="13" spans="1:18" x14ac:dyDescent="0.25">
      <c r="E13" s="2">
        <f>C11*K2</f>
        <v>9031.9770702424448</v>
      </c>
      <c r="G13" s="1">
        <v>0</v>
      </c>
      <c r="H13" s="3">
        <v>70.75</v>
      </c>
    </row>
    <row r="14" spans="1:18" x14ac:dyDescent="0.25">
      <c r="G14" s="1">
        <v>0.1</v>
      </c>
      <c r="H14" s="3">
        <v>70.565217391304344</v>
      </c>
    </row>
    <row r="15" spans="1:18" x14ac:dyDescent="0.25">
      <c r="G15" s="1">
        <v>0.2</v>
      </c>
      <c r="H15" s="3">
        <v>70.42307692307692</v>
      </c>
    </row>
    <row r="16" spans="1:18" x14ac:dyDescent="0.25">
      <c r="G16" s="1">
        <v>0.3</v>
      </c>
      <c r="H16" s="3">
        <v>70.310344827586206</v>
      </c>
    </row>
    <row r="17" spans="7:19" x14ac:dyDescent="0.25">
      <c r="G17" s="1">
        <v>0.4</v>
      </c>
      <c r="H17" s="3">
        <v>70.21875</v>
      </c>
    </row>
    <row r="18" spans="7:19" x14ac:dyDescent="0.25">
      <c r="G18" s="1">
        <v>0.5</v>
      </c>
      <c r="H18" s="3">
        <v>70.142857142857139</v>
      </c>
    </row>
    <row r="19" spans="7:19" x14ac:dyDescent="0.25">
      <c r="G19" s="1">
        <v>0.6</v>
      </c>
      <c r="H19" s="3">
        <v>70.078947368421055</v>
      </c>
    </row>
    <row r="20" spans="7:19" x14ac:dyDescent="0.25">
      <c r="G20" s="1">
        <v>0.7</v>
      </c>
      <c r="H20" s="3">
        <v>70.024390243902445</v>
      </c>
    </row>
    <row r="21" spans="7:19" x14ac:dyDescent="0.25">
      <c r="G21" s="1">
        <v>0.8</v>
      </c>
      <c r="H21" s="3">
        <v>69.977272727272734</v>
      </c>
    </row>
    <row r="22" spans="7:19" x14ac:dyDescent="0.25">
      <c r="G22" s="1">
        <v>0.9</v>
      </c>
      <c r="H22" s="3">
        <v>69.936170212765958</v>
      </c>
    </row>
    <row r="23" spans="7:19" x14ac:dyDescent="0.25">
      <c r="G23" s="1">
        <v>1</v>
      </c>
      <c r="H23" s="3">
        <v>69.900000000000006</v>
      </c>
    </row>
    <row r="26" spans="7:19" x14ac:dyDescent="0.25">
      <c r="K26" t="s">
        <v>22</v>
      </c>
    </row>
    <row r="27" spans="7:19" x14ac:dyDescent="0.25">
      <c r="G27" t="s">
        <v>25</v>
      </c>
      <c r="J27" t="s">
        <v>20</v>
      </c>
      <c r="K27" s="1">
        <v>0.5</v>
      </c>
    </row>
    <row r="28" spans="7:19" x14ac:dyDescent="0.25">
      <c r="J28" t="s">
        <v>21</v>
      </c>
      <c r="K28" s="1">
        <v>0.5</v>
      </c>
    </row>
    <row r="29" spans="7:19" x14ac:dyDescent="0.25">
      <c r="L29" t="s">
        <v>26</v>
      </c>
    </row>
    <row r="30" spans="7:19" x14ac:dyDescent="0.25">
      <c r="H30" t="s">
        <v>30</v>
      </c>
      <c r="I30" t="s">
        <v>29</v>
      </c>
      <c r="J30" t="s">
        <v>32</v>
      </c>
      <c r="K30" t="s">
        <v>29</v>
      </c>
      <c r="L30" t="s">
        <v>30</v>
      </c>
      <c r="M30" t="s">
        <v>34</v>
      </c>
      <c r="N30" t="s">
        <v>31</v>
      </c>
      <c r="O30" t="s">
        <v>29</v>
      </c>
      <c r="P30" t="s">
        <v>30</v>
      </c>
      <c r="Q30" t="s">
        <v>29</v>
      </c>
      <c r="R30" t="s">
        <v>30</v>
      </c>
      <c r="S30" t="s">
        <v>34</v>
      </c>
    </row>
    <row r="31" spans="7:19" x14ac:dyDescent="0.25">
      <c r="H31" s="1">
        <v>0</v>
      </c>
      <c r="I31" s="1">
        <v>0</v>
      </c>
      <c r="J31" s="1">
        <v>0.1</v>
      </c>
      <c r="K31" s="1">
        <v>0.1</v>
      </c>
      <c r="L31" s="1">
        <v>0.2</v>
      </c>
      <c r="M31" s="1">
        <v>0.2</v>
      </c>
      <c r="N31" s="1">
        <v>0.3</v>
      </c>
      <c r="O31" s="1">
        <v>0.3</v>
      </c>
      <c r="P31" s="1">
        <v>0.4</v>
      </c>
      <c r="Q31" s="1">
        <v>0.4</v>
      </c>
      <c r="R31" s="1">
        <v>0.5</v>
      </c>
      <c r="S31" s="1">
        <v>0.5</v>
      </c>
    </row>
    <row r="32" spans="7:19" x14ac:dyDescent="0.25">
      <c r="G32" s="1">
        <v>0</v>
      </c>
      <c r="H32" s="4">
        <f>($K$27-G32)*$I$2*$A$2*(1+$B$2)+G32*$I$2*$G$2*H13</f>
        <v>5250</v>
      </c>
      <c r="I32" s="4">
        <f>($K$28-$I$31)*$I$2*$A$2*(1+$B$2)+$I$31*$I$2*$G$2*H13</f>
        <v>5250</v>
      </c>
      <c r="J32" s="4">
        <f>($K$27-G32)*$I$2*$A$2*(1+$B$2)+G32*$I$2*$G$2*H14</f>
        <v>5250</v>
      </c>
      <c r="K32" s="4">
        <f>($K$28-$K$31)*$I$2*$A$2*(1+$B$2)+$K$31*$I$2*$G$2*H14</f>
        <v>5258.478260869565</v>
      </c>
      <c r="L32" s="4">
        <f>($K$27-G32)*$I$2*$A$2*(1+$B$2)+G32*$I$2*$G$2*H15</f>
        <v>5250</v>
      </c>
      <c r="M32" s="4">
        <f>($K$28-$M$31)*$I$2*$A$2*(1+$B$2)+$M$31*$I$2*$G$2*H15</f>
        <v>5262.6923076923076</v>
      </c>
      <c r="N32" s="4">
        <f>($K$27-G32)*$I$2*$A$2*(1+$B$2)+G32*$I$2*$G$2*H16</f>
        <v>5250</v>
      </c>
      <c r="O32" s="4">
        <f>($K$28-$O$31)*$I$2*$A$2*(1+$B$2)+$O$31*$I$2*$G$2*H16</f>
        <v>5263.9655172413786</v>
      </c>
      <c r="P32" s="4">
        <f>($K$27-G32)*$I$2*$A$2*(1+$B$2)+G32*$I$2*$G$2*H17</f>
        <v>5250</v>
      </c>
      <c r="Q32" s="4">
        <f>($K$28-$Q$31)*$I$2*$A$2*(1+$B$2)+$Q$31*$I$2*$G$2*H17</f>
        <v>5263.125</v>
      </c>
      <c r="R32" s="2">
        <f>($K$27-G32)*$I$2*$A$2*(1+$B$2)+G32*$I$2*$G$2*H18</f>
        <v>5250</v>
      </c>
      <c r="S32" s="4">
        <f>($K$28-$S$31)*$I$2*$A$2*(1+$B$2)+$S$31*$I$2*$G$2*H18</f>
        <v>5260.7142857142853</v>
      </c>
    </row>
    <row r="33" spans="6:19" x14ac:dyDescent="0.25">
      <c r="G33" s="1">
        <v>0.1</v>
      </c>
      <c r="H33" s="4">
        <f t="shared" ref="H33:H37" si="2">($K$27-G33)*$I$2*$A$2*(1+$B$2)+G33*$I$2*$G$2*H14</f>
        <v>5258.478260869565</v>
      </c>
      <c r="I33" s="4">
        <f t="shared" ref="I33:I37" si="3">($K$28-$I$31)*$I$2*$A$2*(1+$B$2)+$I$31*$I$2*$G$2*H14</f>
        <v>5250</v>
      </c>
      <c r="J33" s="4">
        <f t="shared" ref="J33:J37" si="4">($K$27-G33)*$I$2*$A$2*(1+$B$2)+G33*$I$2*$G$2*H15</f>
        <v>5256.3461538461543</v>
      </c>
      <c r="K33" s="4">
        <f t="shared" ref="K33:K37" si="5">($K$28-$K$31)*$I$2*$A$2*(1+$B$2)+$K$31*$I$2*$G$2*H15</f>
        <v>5256.3461538461543</v>
      </c>
      <c r="L33" s="4">
        <f t="shared" ref="L33:L37" si="6">($K$27-G33)*$I$2*$A$2*(1+$B$2)+G33*$I$2*$G$2*H16</f>
        <v>5254.6551724137935</v>
      </c>
      <c r="M33" s="4">
        <f t="shared" ref="M33:M37" si="7">($K$28-$M$31)*$I$2*$A$2*(1+$B$2)+$M$31*$I$2*$G$2*H16</f>
        <v>5259.3103448275861</v>
      </c>
      <c r="N33" s="4">
        <f t="shared" ref="N33:N37" si="8">($K$27-G33)*$I$2*$A$2*(1+$B$2)+G33*$I$2*$G$2*H17</f>
        <v>5253.28125</v>
      </c>
      <c r="O33" s="4">
        <f t="shared" ref="O33:O37" si="9">($K$28-$O$31)*$I$2*$A$2*(1+$B$2)+$O$31*$I$2*$G$2*H17</f>
        <v>5259.84375</v>
      </c>
      <c r="P33" s="4">
        <f t="shared" ref="P33:P37" si="10">($K$27-G33)*$I$2*$A$2*(1+$B$2)+G33*$I$2*$G$2*H18</f>
        <v>5252.1428571428569</v>
      </c>
      <c r="Q33" s="4">
        <f t="shared" ref="Q33:Q37" si="11">($K$28-$Q$31)*$I$2*$A$2*(1+$B$2)+$Q$31*$I$2*$G$2*H18</f>
        <v>5258.5714285714284</v>
      </c>
      <c r="R33" s="2">
        <f t="shared" ref="R33:R37" si="12">($K$27-G33)*$I$2*$A$2*(1+$B$2)+G33*$I$2*$G$2*H19</f>
        <v>5251.1842105263158</v>
      </c>
      <c r="S33" s="4">
        <f t="shared" ref="S33:S37" si="13">($K$28-$S$31)*$I$2*$A$2*(1+$B$2)+$S$31*$I$2*$G$2*H19</f>
        <v>5255.9210526315792</v>
      </c>
    </row>
    <row r="34" spans="6:19" x14ac:dyDescent="0.25">
      <c r="F34" t="s">
        <v>33</v>
      </c>
      <c r="G34" s="1">
        <v>0.2</v>
      </c>
      <c r="H34" s="4">
        <f t="shared" si="2"/>
        <v>5262.6923076923076</v>
      </c>
      <c r="I34" s="4">
        <f t="shared" si="3"/>
        <v>5250</v>
      </c>
      <c r="J34" s="4">
        <f t="shared" si="4"/>
        <v>5259.3103448275861</v>
      </c>
      <c r="K34" s="4">
        <f t="shared" si="5"/>
        <v>5254.6551724137935</v>
      </c>
      <c r="L34" s="4">
        <f t="shared" si="6"/>
        <v>5256.5625</v>
      </c>
      <c r="M34" s="4">
        <f t="shared" si="7"/>
        <v>5256.5625</v>
      </c>
      <c r="N34" s="4">
        <f t="shared" si="8"/>
        <v>5254.2857142857138</v>
      </c>
      <c r="O34" s="4">
        <f t="shared" si="9"/>
        <v>5256.4285714285706</v>
      </c>
      <c r="P34" s="4">
        <f t="shared" si="10"/>
        <v>5252.3684210526317</v>
      </c>
      <c r="Q34" s="4">
        <f t="shared" si="11"/>
        <v>5254.7368421052633</v>
      </c>
      <c r="R34" s="2">
        <f t="shared" si="12"/>
        <v>5250.7317073170734</v>
      </c>
      <c r="S34" s="4">
        <f t="shared" si="13"/>
        <v>5251.8292682926831</v>
      </c>
    </row>
    <row r="35" spans="6:19" x14ac:dyDescent="0.25">
      <c r="G35" s="1">
        <v>0.3</v>
      </c>
      <c r="H35" s="4">
        <f t="shared" si="2"/>
        <v>5263.9655172413786</v>
      </c>
      <c r="I35" s="4">
        <f t="shared" si="3"/>
        <v>5250</v>
      </c>
      <c r="J35" s="4">
        <f t="shared" si="4"/>
        <v>5259.84375</v>
      </c>
      <c r="K35" s="4">
        <f t="shared" si="5"/>
        <v>5253.28125</v>
      </c>
      <c r="L35" s="4">
        <f t="shared" si="6"/>
        <v>5256.4285714285706</v>
      </c>
      <c r="M35" s="4">
        <f t="shared" si="7"/>
        <v>5254.2857142857138</v>
      </c>
      <c r="N35" s="4">
        <f t="shared" si="8"/>
        <v>5253.5526315789475</v>
      </c>
      <c r="O35" s="4">
        <f t="shared" si="9"/>
        <v>5253.5526315789475</v>
      </c>
      <c r="P35" s="4">
        <f t="shared" si="10"/>
        <v>5251.0975609756097</v>
      </c>
      <c r="Q35" s="4">
        <f t="shared" si="11"/>
        <v>5251.4634146341468</v>
      </c>
      <c r="R35" s="2">
        <f t="shared" si="12"/>
        <v>5248.977272727273</v>
      </c>
      <c r="S35" s="4">
        <f t="shared" si="13"/>
        <v>5248.295454545455</v>
      </c>
    </row>
    <row r="36" spans="6:19" x14ac:dyDescent="0.25">
      <c r="G36" s="1">
        <v>0.4</v>
      </c>
      <c r="H36" s="4">
        <f t="shared" si="2"/>
        <v>5263.125</v>
      </c>
      <c r="I36" s="4">
        <f t="shared" si="3"/>
        <v>5250</v>
      </c>
      <c r="J36" s="4">
        <f t="shared" si="4"/>
        <v>5258.5714285714284</v>
      </c>
      <c r="K36" s="4">
        <f t="shared" si="5"/>
        <v>5252.1428571428569</v>
      </c>
      <c r="L36" s="4">
        <f t="shared" si="6"/>
        <v>5254.7368421052633</v>
      </c>
      <c r="M36" s="4">
        <f t="shared" si="7"/>
        <v>5252.3684210526317</v>
      </c>
      <c r="N36" s="4">
        <f t="shared" si="8"/>
        <v>5251.4634146341468</v>
      </c>
      <c r="O36" s="4">
        <f t="shared" si="9"/>
        <v>5251.0975609756097</v>
      </c>
      <c r="P36" s="4">
        <f t="shared" si="10"/>
        <v>5248.636363636364</v>
      </c>
      <c r="Q36" s="4">
        <f t="shared" si="11"/>
        <v>5248.636363636364</v>
      </c>
      <c r="R36" s="2">
        <f t="shared" si="12"/>
        <v>5246.1702127659573</v>
      </c>
      <c r="S36" s="4">
        <f t="shared" si="13"/>
        <v>5245.2127659574471</v>
      </c>
    </row>
    <row r="37" spans="6:19" x14ac:dyDescent="0.25">
      <c r="G37" s="1">
        <v>0.5</v>
      </c>
      <c r="H37" s="4">
        <f t="shared" si="2"/>
        <v>5260.7142857142853</v>
      </c>
      <c r="I37" s="4">
        <f t="shared" si="3"/>
        <v>5250</v>
      </c>
      <c r="J37" s="4">
        <f t="shared" si="4"/>
        <v>5255.9210526315792</v>
      </c>
      <c r="K37" s="4">
        <f t="shared" si="5"/>
        <v>5251.1842105263158</v>
      </c>
      <c r="L37" s="4">
        <f t="shared" si="6"/>
        <v>5251.8292682926831</v>
      </c>
      <c r="M37" s="4">
        <f t="shared" si="7"/>
        <v>5250.7317073170734</v>
      </c>
      <c r="N37" s="4">
        <f t="shared" si="8"/>
        <v>5248.295454545455</v>
      </c>
      <c r="O37" s="4">
        <f t="shared" si="9"/>
        <v>5248.977272727273</v>
      </c>
      <c r="P37" s="4">
        <f t="shared" si="10"/>
        <v>5245.2127659574471</v>
      </c>
      <c r="Q37" s="4">
        <f t="shared" si="11"/>
        <v>5246.1702127659573</v>
      </c>
      <c r="R37" s="2">
        <f t="shared" si="12"/>
        <v>5242.5</v>
      </c>
      <c r="S37" s="4">
        <f t="shared" si="13"/>
        <v>5242.5</v>
      </c>
    </row>
    <row r="42" spans="6:19" x14ac:dyDescent="0.25">
      <c r="G42" t="s">
        <v>27</v>
      </c>
      <c r="J42" t="s">
        <v>20</v>
      </c>
      <c r="K42" s="1">
        <v>0.8</v>
      </c>
    </row>
    <row r="43" spans="6:19" x14ac:dyDescent="0.25">
      <c r="J43" t="s">
        <v>21</v>
      </c>
      <c r="K43" s="1">
        <v>0.2</v>
      </c>
    </row>
    <row r="44" spans="6:19" x14ac:dyDescent="0.25">
      <c r="J44" t="s">
        <v>26</v>
      </c>
    </row>
    <row r="45" spans="6:19" x14ac:dyDescent="0.25">
      <c r="H45" t="s">
        <v>28</v>
      </c>
      <c r="I45" t="s">
        <v>29</v>
      </c>
      <c r="J45" t="s">
        <v>30</v>
      </c>
      <c r="K45" t="s">
        <v>29</v>
      </c>
      <c r="L45" t="s">
        <v>30</v>
      </c>
      <c r="M45" t="s">
        <v>29</v>
      </c>
    </row>
    <row r="46" spans="6:19" x14ac:dyDescent="0.25">
      <c r="H46" s="1">
        <v>0</v>
      </c>
      <c r="I46" s="1">
        <v>0</v>
      </c>
      <c r="J46" s="1">
        <v>0.1</v>
      </c>
      <c r="K46" s="1">
        <v>0.1</v>
      </c>
      <c r="L46" s="1">
        <v>0.2</v>
      </c>
      <c r="M46" s="1">
        <v>0.2</v>
      </c>
    </row>
    <row r="47" spans="6:19" x14ac:dyDescent="0.25">
      <c r="G47" s="1">
        <v>0</v>
      </c>
      <c r="H47" s="4">
        <f>($K$42-G47)*$I$2*$A$2*(1+$B$2)+G47*$I$2*$G$2*H13</f>
        <v>8400</v>
      </c>
      <c r="I47" s="4">
        <f>($K$43-$I$46)*$I$2*$A$2*(1+$B$2)+$I$46*$I$2*$G$2*H13</f>
        <v>2100</v>
      </c>
      <c r="J47" s="4">
        <f>($K$42-G47)*$I$2*$A$2*(1+$B$2)+G47*$I$2*$G$2*H14</f>
        <v>8400</v>
      </c>
      <c r="K47" s="4">
        <f>($K$43-$K$46)*$I$2*$A$2*(1+$B$2)+$K$46*$I$2*$G$2*H14</f>
        <v>2108.478260869565</v>
      </c>
      <c r="L47" s="4">
        <f>($K$42-G47)*$I$2*$A$2*(1+$B$2)+G47*$I$2*$G$2*H15</f>
        <v>8400</v>
      </c>
      <c r="M47" s="4">
        <f>($K$43-$M$46)*$I$2*$A$2*(1+$B$2)+$M$46*$I$2*$G$2*H15</f>
        <v>2112.6923076923076</v>
      </c>
    </row>
    <row r="48" spans="6:19" x14ac:dyDescent="0.25">
      <c r="G48" s="1">
        <v>0.1</v>
      </c>
      <c r="H48" s="4">
        <f t="shared" ref="H48:H55" si="14">($K$42-G48)*$I$2*$A$2*(1+$B$2)+G48*$I$2*$G$2*H14</f>
        <v>8408.4782608695659</v>
      </c>
      <c r="I48" s="4">
        <f t="shared" ref="I48:I55" si="15">($K$43-$I$46)*$I$2*$A$2*(1+$B$2)+$I$46*$I$2*$G$2*H14</f>
        <v>2100</v>
      </c>
      <c r="J48" s="4">
        <f t="shared" ref="J48:J55" si="16">($K$42-G48)*$I$2*$A$2*(1+$B$2)+G48*$I$2*$G$2*H15</f>
        <v>8406.3461538461543</v>
      </c>
      <c r="K48" s="4">
        <f t="shared" ref="K48:K55" si="17">($K$43-$K$46)*$I$2*$A$2*(1+$B$2)+$K$46*$I$2*$G$2*H15</f>
        <v>2106.3461538461538</v>
      </c>
      <c r="L48" s="4">
        <f t="shared" ref="L48:L55" si="18">($K$42-G48)*$I$2*$A$2*(1+$B$2)+G48*$I$2*$G$2*H16</f>
        <v>8404.6551724137935</v>
      </c>
      <c r="M48" s="4">
        <f t="shared" ref="M48:M55" si="19">($K$43-$M$46)*$I$2*$A$2*(1+$B$2)+$M$46*$I$2*$G$2*H16</f>
        <v>2109.3103448275861</v>
      </c>
    </row>
    <row r="49" spans="6:13" x14ac:dyDescent="0.25">
      <c r="F49" t="s">
        <v>26</v>
      </c>
      <c r="G49" s="1">
        <v>0.2</v>
      </c>
      <c r="H49" s="4">
        <f t="shared" si="14"/>
        <v>8412.6923076923085</v>
      </c>
      <c r="I49" s="4">
        <f t="shared" si="15"/>
        <v>2100</v>
      </c>
      <c r="J49" s="4">
        <f t="shared" si="16"/>
        <v>8409.310344827587</v>
      </c>
      <c r="K49" s="4">
        <f t="shared" si="17"/>
        <v>2104.655172413793</v>
      </c>
      <c r="L49" s="4">
        <f t="shared" si="18"/>
        <v>8406.5625</v>
      </c>
      <c r="M49" s="4">
        <f t="shared" si="19"/>
        <v>2106.5625</v>
      </c>
    </row>
    <row r="50" spans="6:13" x14ac:dyDescent="0.25">
      <c r="G50" s="1">
        <v>0.3</v>
      </c>
      <c r="H50" s="4">
        <f t="shared" si="14"/>
        <v>8413.9655172413786</v>
      </c>
      <c r="I50" s="4">
        <f t="shared" si="15"/>
        <v>2100</v>
      </c>
      <c r="J50" s="4">
        <f t="shared" si="16"/>
        <v>8409.84375</v>
      </c>
      <c r="K50" s="4">
        <f t="shared" si="17"/>
        <v>2103.28125</v>
      </c>
      <c r="L50" s="4">
        <f t="shared" si="18"/>
        <v>8406.4285714285706</v>
      </c>
      <c r="M50" s="4">
        <f t="shared" si="19"/>
        <v>2104.2857142857142</v>
      </c>
    </row>
    <row r="51" spans="6:13" x14ac:dyDescent="0.25">
      <c r="G51" s="1">
        <v>0.4</v>
      </c>
      <c r="H51" s="4">
        <f t="shared" si="14"/>
        <v>8413.125</v>
      </c>
      <c r="I51" s="4">
        <f t="shared" si="15"/>
        <v>2100</v>
      </c>
      <c r="J51" s="4">
        <f t="shared" si="16"/>
        <v>8408.5714285714275</v>
      </c>
      <c r="K51" s="4">
        <f t="shared" si="17"/>
        <v>2102.1428571428569</v>
      </c>
      <c r="L51" s="4">
        <f t="shared" si="18"/>
        <v>8404.7368421052633</v>
      </c>
      <c r="M51" s="4">
        <f t="shared" si="19"/>
        <v>2102.3684210526317</v>
      </c>
    </row>
    <row r="52" spans="6:13" x14ac:dyDescent="0.25">
      <c r="G52" s="1">
        <v>0.5</v>
      </c>
      <c r="H52" s="4">
        <f t="shared" si="14"/>
        <v>8410.7142857142862</v>
      </c>
      <c r="I52" s="4">
        <f t="shared" si="15"/>
        <v>2100</v>
      </c>
      <c r="J52" s="4">
        <f t="shared" si="16"/>
        <v>8405.9210526315801</v>
      </c>
      <c r="K52" s="4">
        <f t="shared" si="17"/>
        <v>2101.1842105263158</v>
      </c>
      <c r="L52" s="4">
        <f t="shared" si="18"/>
        <v>8401.829268292684</v>
      </c>
      <c r="M52" s="4">
        <f t="shared" si="19"/>
        <v>2100.7317073170734</v>
      </c>
    </row>
    <row r="53" spans="6:13" x14ac:dyDescent="0.25">
      <c r="G53" s="1">
        <v>0.6</v>
      </c>
      <c r="H53" s="4">
        <f t="shared" si="14"/>
        <v>8407.1052631578968</v>
      </c>
      <c r="I53" s="4">
        <f t="shared" si="15"/>
        <v>2100</v>
      </c>
      <c r="J53" s="4">
        <f t="shared" si="16"/>
        <v>8402.1951219512212</v>
      </c>
      <c r="K53" s="4">
        <f t="shared" si="17"/>
        <v>2100.3658536585367</v>
      </c>
      <c r="L53" s="4">
        <f t="shared" si="18"/>
        <v>8397.9545454545478</v>
      </c>
      <c r="M53" s="4">
        <f t="shared" si="19"/>
        <v>2099.318181818182</v>
      </c>
    </row>
    <row r="54" spans="6:13" x14ac:dyDescent="0.25">
      <c r="G54" s="1">
        <v>0.7</v>
      </c>
      <c r="H54" s="4">
        <f t="shared" si="14"/>
        <v>8402.5609756097583</v>
      </c>
      <c r="I54" s="4">
        <f t="shared" si="15"/>
        <v>2100</v>
      </c>
      <c r="J54" s="4">
        <f t="shared" si="16"/>
        <v>8397.6136363636379</v>
      </c>
      <c r="K54" s="4">
        <f t="shared" si="17"/>
        <v>2099.659090909091</v>
      </c>
      <c r="L54" s="4">
        <f t="shared" si="18"/>
        <v>8393.2978723404267</v>
      </c>
      <c r="M54" s="4">
        <f t="shared" si="19"/>
        <v>2098.0851063829787</v>
      </c>
    </row>
    <row r="55" spans="6:13" x14ac:dyDescent="0.25">
      <c r="G55" s="1">
        <v>0.8</v>
      </c>
      <c r="H55" s="4">
        <f t="shared" si="14"/>
        <v>8397.2727272727279</v>
      </c>
      <c r="I55" s="4">
        <f t="shared" si="15"/>
        <v>2100</v>
      </c>
      <c r="J55" s="4">
        <f t="shared" si="16"/>
        <v>8392.3404255319147</v>
      </c>
      <c r="K55" s="4">
        <f t="shared" si="17"/>
        <v>2099.0425531914893</v>
      </c>
      <c r="L55" s="4">
        <f t="shared" si="18"/>
        <v>8388</v>
      </c>
      <c r="M55" s="4">
        <f t="shared" si="19"/>
        <v>2097</v>
      </c>
    </row>
    <row r="58" spans="6:13" x14ac:dyDescent="0.25">
      <c r="G58" t="s">
        <v>38</v>
      </c>
    </row>
    <row r="59" spans="6:13" x14ac:dyDescent="0.25">
      <c r="F59" t="s">
        <v>36</v>
      </c>
      <c r="G59" s="1">
        <v>0.5</v>
      </c>
      <c r="I59" t="s">
        <v>43</v>
      </c>
      <c r="J59">
        <f>$A$2*(1+$B$2*(1-$F$2))</f>
        <v>104</v>
      </c>
    </row>
    <row r="60" spans="6:13" x14ac:dyDescent="0.25">
      <c r="F60" t="s">
        <v>37</v>
      </c>
      <c r="G60" s="1">
        <v>0.5</v>
      </c>
    </row>
    <row r="62" spans="6:13" x14ac:dyDescent="0.25">
      <c r="F62" t="s">
        <v>39</v>
      </c>
      <c r="G62" t="s">
        <v>40</v>
      </c>
      <c r="H62" t="s">
        <v>41</v>
      </c>
      <c r="I62" t="s">
        <v>42</v>
      </c>
      <c r="J62" t="s">
        <v>44</v>
      </c>
      <c r="L62" t="s">
        <v>20</v>
      </c>
      <c r="M62" s="9" t="s">
        <v>45</v>
      </c>
    </row>
    <row r="63" spans="6:13" x14ac:dyDescent="0.25">
      <c r="F63" s="1">
        <v>0</v>
      </c>
      <c r="G63">
        <f>$G$2^2*$I$2^3*$A$2*(1+$B$2)+$I$2*$J$59*$I$2^2*$G$2^2-2*$I$2^3*$G$2^2*$J$59</f>
        <v>2250000</v>
      </c>
      <c r="H63">
        <f>(2*$G$2*$I$2*$H$2+2*F76*$G$2^2*$I$2^2)*$I$2*$A$2*(1+$B$2)-$I$2^3*$G$2^2*(1-F76)*$J$59+($G$2*$I$2-2*$H$2-3*F76*$G$2*$I$2)*$I$2^2*$G$2*$J$59</f>
        <v>3000000</v>
      </c>
      <c r="I63" s="8">
        <f t="shared" ref="I63:I73" si="20">($H$2^2+2*F76*$G$2*$H$2*$I$2+F76^2*$G$2^2*$I$2^2)*$I$2*$A$2*(1+$B$2)-$I$2*$G$2*$E$9*$H$2-$I$2^2*$G$2^2*$E$9*F76+($H$2+F76*$G$2*$I$2-$H$2*F76-F76^2*$G$2*$I$2)*$I$2^2*$G$2*$J$59</f>
        <v>-1125000</v>
      </c>
      <c r="J63" s="10">
        <f>(-H63+(H63^2-4*G63*I63)^0.5)/(2*G63)</f>
        <v>0.30515864914088342</v>
      </c>
      <c r="L63" s="1">
        <v>0</v>
      </c>
      <c r="M63" s="10">
        <v>0.30515864914088342</v>
      </c>
    </row>
    <row r="64" spans="6:13" x14ac:dyDescent="0.25">
      <c r="F64" s="1">
        <v>0.05</v>
      </c>
      <c r="G64">
        <f t="shared" ref="G64:G73" si="21">$G$2^2*$I$2^3*$A$2*(1+$B$2)+$I$2*$J$59*$I$2^2*$G$2^2-2*$I$2^3*$G$2^2*$J$59</f>
        <v>2250000</v>
      </c>
      <c r="H64">
        <f t="shared" ref="H64:H73" si="22">(2*$G$2*$I$2*$H$2+2*F77*$G$2^2*$I$2^2)*$I$2*$A$2*(1+$B$2)-$I$2^3*$G$2^2*(1-F77)*$J$59+($G$2*$I$2-2*$H$2-3*F77*$G$2*$I$2)*$I$2^2*$G$2*$J$59</f>
        <v>3225000</v>
      </c>
      <c r="I64" s="8">
        <f t="shared" si="20"/>
        <v>-1128750</v>
      </c>
      <c r="J64" s="10">
        <f t="shared" ref="J64:J73" si="23">(-H64+(H64^2-4*G64*I64)^0.5)/(2*G64)</f>
        <v>0.29094326667945603</v>
      </c>
      <c r="L64" s="1">
        <v>0.05</v>
      </c>
      <c r="M64" s="10">
        <v>0.29094326667945603</v>
      </c>
    </row>
    <row r="65" spans="6:13" x14ac:dyDescent="0.25">
      <c r="F65" s="1">
        <v>0.1</v>
      </c>
      <c r="G65">
        <f t="shared" si="21"/>
        <v>2250000</v>
      </c>
      <c r="H65">
        <f t="shared" si="22"/>
        <v>3450000</v>
      </c>
      <c r="I65" s="8">
        <f t="shared" si="20"/>
        <v>-1121250</v>
      </c>
      <c r="J65" s="10">
        <f t="shared" si="23"/>
        <v>0.27549988005756543</v>
      </c>
      <c r="L65" s="1">
        <v>0.1</v>
      </c>
      <c r="M65" s="10">
        <v>0.27549988005756543</v>
      </c>
    </row>
    <row r="66" spans="6:13" x14ac:dyDescent="0.25">
      <c r="F66" s="1">
        <v>0.15</v>
      </c>
      <c r="G66">
        <f t="shared" si="21"/>
        <v>2250000</v>
      </c>
      <c r="H66">
        <f t="shared" si="22"/>
        <v>3675000</v>
      </c>
      <c r="I66" s="8">
        <f t="shared" si="20"/>
        <v>-1102500</v>
      </c>
      <c r="J66" s="10">
        <f t="shared" si="23"/>
        <v>0.25894685335083678</v>
      </c>
      <c r="L66" s="1">
        <v>0.15</v>
      </c>
      <c r="M66" s="10">
        <v>0.25894685335083678</v>
      </c>
    </row>
    <row r="67" spans="6:13" x14ac:dyDescent="0.25">
      <c r="F67" s="1">
        <v>0.2</v>
      </c>
      <c r="G67">
        <f t="shared" si="21"/>
        <v>2250000</v>
      </c>
      <c r="H67">
        <f>(2*$G$2*$I$2*$H$2+2*F80*$G$2^2*$I$2^2)*$I$2*$A$2*(1+$B$2)-$I$2^3*$G$2^2*(1-F80)*$J$59+($G$2*$I$2-2*$H$2-3*F80*$G$2*$I$2)*$I$2^2*$G$2*$J$59</f>
        <v>3900000</v>
      </c>
      <c r="I67" s="8">
        <f t="shared" si="20"/>
        <v>-1072500</v>
      </c>
      <c r="J67" s="10">
        <f t="shared" si="23"/>
        <v>0.24138467590631069</v>
      </c>
      <c r="L67" s="1">
        <v>0.2</v>
      </c>
      <c r="M67" s="10">
        <v>0.24138467590631069</v>
      </c>
    </row>
    <row r="68" spans="6:13" x14ac:dyDescent="0.25">
      <c r="F68" s="1">
        <v>0.25</v>
      </c>
      <c r="G68">
        <f t="shared" si="21"/>
        <v>2250000</v>
      </c>
      <c r="H68">
        <f t="shared" si="22"/>
        <v>4125000</v>
      </c>
      <c r="I68" s="8">
        <f t="shared" si="20"/>
        <v>-1031250</v>
      </c>
      <c r="J68" s="10">
        <f t="shared" si="23"/>
        <v>0.22289952759811199</v>
      </c>
      <c r="L68" s="1">
        <v>0.25</v>
      </c>
      <c r="M68" s="10">
        <v>0.22289952759811199</v>
      </c>
    </row>
    <row r="69" spans="6:13" x14ac:dyDescent="0.25">
      <c r="F69" s="1">
        <v>0.3</v>
      </c>
      <c r="G69">
        <f t="shared" si="21"/>
        <v>2250000</v>
      </c>
      <c r="H69">
        <f t="shared" si="22"/>
        <v>4350000</v>
      </c>
      <c r="I69" s="8">
        <f t="shared" si="20"/>
        <v>-978750</v>
      </c>
      <c r="J69" s="10">
        <f t="shared" si="23"/>
        <v>0.20356597876946381</v>
      </c>
      <c r="L69" s="1">
        <v>0.3</v>
      </c>
      <c r="M69" s="10">
        <v>0.20356597876946381</v>
      </c>
    </row>
    <row r="70" spans="6:13" x14ac:dyDescent="0.25">
      <c r="F70" s="1">
        <v>0.35</v>
      </c>
      <c r="G70">
        <f t="shared" si="21"/>
        <v>2250000</v>
      </c>
      <c r="H70">
        <f t="shared" si="22"/>
        <v>4575000.0000000596</v>
      </c>
      <c r="I70" s="8">
        <f t="shared" si="20"/>
        <v>-915000</v>
      </c>
      <c r="J70" s="10">
        <f t="shared" si="23"/>
        <v>0.18344906849297737</v>
      </c>
      <c r="L70" s="1">
        <v>0.35</v>
      </c>
      <c r="M70" s="10">
        <v>0.18344906849297737</v>
      </c>
    </row>
    <row r="71" spans="6:13" x14ac:dyDescent="0.25">
      <c r="F71" s="1">
        <v>0.4</v>
      </c>
      <c r="G71">
        <f t="shared" si="21"/>
        <v>2250000</v>
      </c>
      <c r="H71">
        <f t="shared" si="22"/>
        <v>4799999.9999998808</v>
      </c>
      <c r="I71" s="8">
        <f t="shared" si="20"/>
        <v>-840000</v>
      </c>
      <c r="J71" s="10">
        <f t="shared" si="23"/>
        <v>0.16260592763905518</v>
      </c>
      <c r="L71" s="1">
        <v>0.4</v>
      </c>
      <c r="M71" s="10">
        <v>0.16260592763905518</v>
      </c>
    </row>
    <row r="72" spans="6:13" x14ac:dyDescent="0.25">
      <c r="F72" s="1">
        <v>0.45</v>
      </c>
      <c r="G72">
        <f t="shared" si="21"/>
        <v>2250000</v>
      </c>
      <c r="H72">
        <f t="shared" si="22"/>
        <v>5024999.9999998808</v>
      </c>
      <c r="I72" s="8">
        <f t="shared" si="20"/>
        <v>-753750</v>
      </c>
      <c r="J72" s="10">
        <f t="shared" si="23"/>
        <v>0.1410870629817299</v>
      </c>
      <c r="L72" s="1">
        <v>0.45</v>
      </c>
      <c r="M72" s="10">
        <v>0.1410870629817299</v>
      </c>
    </row>
    <row r="73" spans="6:13" x14ac:dyDescent="0.25">
      <c r="F73" s="1">
        <v>0.5</v>
      </c>
      <c r="G73">
        <f t="shared" si="21"/>
        <v>2250000</v>
      </c>
      <c r="H73">
        <f t="shared" si="22"/>
        <v>5250000</v>
      </c>
      <c r="I73" s="8">
        <f t="shared" si="20"/>
        <v>-656250</v>
      </c>
      <c r="J73" s="10">
        <f t="shared" si="23"/>
        <v>0.11893738504512608</v>
      </c>
      <c r="L73" s="1">
        <v>0.5</v>
      </c>
      <c r="M73" s="10">
        <v>0.11893738504512608</v>
      </c>
    </row>
    <row r="75" spans="6:13" x14ac:dyDescent="0.25">
      <c r="F75" t="s">
        <v>46</v>
      </c>
      <c r="G75" t="s">
        <v>47</v>
      </c>
      <c r="H75" t="s">
        <v>48</v>
      </c>
      <c r="I75" t="s">
        <v>49</v>
      </c>
      <c r="J75" t="s">
        <v>50</v>
      </c>
      <c r="L75" s="10" t="s">
        <v>51</v>
      </c>
      <c r="M75" s="9" t="s">
        <v>52</v>
      </c>
    </row>
    <row r="76" spans="6:13" x14ac:dyDescent="0.25">
      <c r="F76" s="1">
        <v>0</v>
      </c>
      <c r="L76" s="10">
        <v>0.30515864914088342</v>
      </c>
      <c r="M76" s="9">
        <v>0</v>
      </c>
    </row>
    <row r="77" spans="6:13" x14ac:dyDescent="0.25">
      <c r="F77" s="1">
        <v>0.05</v>
      </c>
      <c r="L77" s="10">
        <v>0.29094326667945603</v>
      </c>
      <c r="M77" s="9">
        <v>0.05</v>
      </c>
    </row>
    <row r="78" spans="6:13" x14ac:dyDescent="0.25">
      <c r="F78" s="1">
        <v>0.1</v>
      </c>
      <c r="L78" s="10">
        <v>0.27549988005756543</v>
      </c>
      <c r="M78" s="9">
        <v>0.1</v>
      </c>
    </row>
    <row r="79" spans="6:13" x14ac:dyDescent="0.25">
      <c r="F79" s="1">
        <v>0.15</v>
      </c>
      <c r="L79" s="10">
        <v>0.25894685335083678</v>
      </c>
      <c r="M79" s="9">
        <v>0.15</v>
      </c>
    </row>
    <row r="80" spans="6:13" x14ac:dyDescent="0.25">
      <c r="F80" s="1">
        <v>0.2</v>
      </c>
      <c r="L80" s="10">
        <v>0.24138467590631069</v>
      </c>
      <c r="M80" s="9">
        <v>0.2</v>
      </c>
    </row>
    <row r="81" spans="6:13" x14ac:dyDescent="0.25">
      <c r="F81" s="1">
        <v>0.25</v>
      </c>
      <c r="H81" t="s">
        <v>53</v>
      </c>
      <c r="L81" s="10">
        <v>0.22289952759811199</v>
      </c>
      <c r="M81" s="9">
        <v>0.25</v>
      </c>
    </row>
    <row r="82" spans="6:13" x14ac:dyDescent="0.25">
      <c r="F82" s="1">
        <v>0.3</v>
      </c>
      <c r="L82" s="10">
        <v>0.20356597876946381</v>
      </c>
      <c r="M82" s="9">
        <v>0.3</v>
      </c>
    </row>
    <row r="83" spans="6:13" x14ac:dyDescent="0.25">
      <c r="F83" s="1">
        <v>0.35</v>
      </c>
      <c r="L83" s="10">
        <v>0.18344906849297737</v>
      </c>
      <c r="M83" s="9">
        <v>0.35</v>
      </c>
    </row>
    <row r="84" spans="6:13" x14ac:dyDescent="0.25">
      <c r="F84" s="1">
        <v>0.4</v>
      </c>
      <c r="L84" s="10">
        <v>0.16260592763905518</v>
      </c>
      <c r="M84" s="9">
        <v>0.4</v>
      </c>
    </row>
    <row r="85" spans="6:13" x14ac:dyDescent="0.25">
      <c r="F85" s="1">
        <v>0.45</v>
      </c>
      <c r="L85" s="10">
        <v>0.1410870629817299</v>
      </c>
      <c r="M85" s="9">
        <v>0.45</v>
      </c>
    </row>
    <row r="86" spans="6:13" x14ac:dyDescent="0.25">
      <c r="F86" s="1">
        <v>0.5</v>
      </c>
      <c r="L86" s="10">
        <v>0.11893738504512608</v>
      </c>
      <c r="M86" s="9">
        <v>0.5</v>
      </c>
    </row>
    <row r="89" spans="6:13" x14ac:dyDescent="0.25">
      <c r="F89" t="s">
        <v>57</v>
      </c>
      <c r="G89" t="s">
        <v>54</v>
      </c>
      <c r="I89" t="s">
        <v>58</v>
      </c>
    </row>
    <row r="90" spans="6:13" x14ac:dyDescent="0.25">
      <c r="F90">
        <v>1</v>
      </c>
      <c r="G90" s="1">
        <v>0.5</v>
      </c>
      <c r="H90" t="s">
        <v>59</v>
      </c>
      <c r="I90" s="1">
        <v>0</v>
      </c>
      <c r="J90" t="s">
        <v>55</v>
      </c>
      <c r="K90">
        <v>1</v>
      </c>
    </row>
    <row r="91" spans="6:13" x14ac:dyDescent="0.25">
      <c r="F91">
        <v>2</v>
      </c>
      <c r="G91" s="1">
        <v>0.5</v>
      </c>
      <c r="H91" t="s">
        <v>60</v>
      </c>
      <c r="I91" s="1">
        <v>0</v>
      </c>
      <c r="J91" t="s">
        <v>56</v>
      </c>
      <c r="K91">
        <f>$A$2*(1+$B$2*(1-$F$2)*K90)</f>
        <v>104</v>
      </c>
    </row>
    <row r="94" spans="6:13" x14ac:dyDescent="0.25">
      <c r="F94" t="s">
        <v>61</v>
      </c>
      <c r="G94" t="s">
        <v>62</v>
      </c>
      <c r="H94" t="s">
        <v>63</v>
      </c>
      <c r="I94" t="s">
        <v>64</v>
      </c>
      <c r="J94" t="s">
        <v>65</v>
      </c>
    </row>
    <row r="95" spans="6:13" x14ac:dyDescent="0.25">
      <c r="F95" s="1">
        <v>0</v>
      </c>
      <c r="G95">
        <f>(-1)*($I$2^2*$G$2^2*($I$2*$A$2*(1+$B$2)-$I$2*$K$91))</f>
        <v>-2250000</v>
      </c>
      <c r="H95">
        <f>-($A$2*(1+$B$2)*$I$2*(2*$G$2*$H$2*$I$2+2*(F95+$I$90+$I$91)*$G$2^2*$I$2^2)+$I$2^2*$G$2*$K$91*(-2*$H$2-2*(F95+$I$90+$I$91)*$G$2*$I$2))</f>
        <v>-3000000</v>
      </c>
      <c r="I95" s="11">
        <f>-(($H$2^2+2*(F95+$I$90+$I$91)*$G$2*$H$2*$I$2+(F95+$I$90+$I$91)^2*$G$2^2*$I$2^2)*$I$2*$A$2*(1+$B$2)-$I$2*$G$2*$E$9*$H$2-$I$2^2*$G$2^2*$E$9*(F95+$I$90+$I$91)+($H$2+(F95+$I$90+$I$91)*$G$2*$I$2-$H$2*(F95+$I$90+$I$91)- (F95+$I$90+$I$91)^2*$G$2*$I$2)*$I$2^2*$G$2*$K$91)</f>
        <v>1125000</v>
      </c>
      <c r="J95" s="10">
        <f>MAX(MIN((-H95-(H95^2-4*G95*I95)^0.5)/(2*G95),($G$90-$I$90)),0)</f>
        <v>0.30515864914088342</v>
      </c>
      <c r="K95" s="10">
        <f>(-H95+(H95^2-4*G95*I95)^0.5)/(2*G95)</f>
        <v>-1.6384919824742168</v>
      </c>
    </row>
    <row r="96" spans="6:13" x14ac:dyDescent="0.25">
      <c r="F96" s="1">
        <v>0.05</v>
      </c>
      <c r="G96">
        <f t="shared" ref="G96:G106" si="24">-($I$2^2*$G$2^2*($I$2*$A$2*(1+$B$2)-$I$2*$K$91))</f>
        <v>-2250000</v>
      </c>
      <c r="H96">
        <f t="shared" ref="H96:H106" si="25">-($A$2*(1+$B$2)*$I$2*(2*$G$2*$H$2*$I$2+2*(F96+$I$90+$I$91)*$G$2^2*$I$2^2)+$I$2^2*$G$2*$K$91*(-2*$H$2-2*(F96+$I$90+$I$91)*$G$2*$I$2))</f>
        <v>-3225000</v>
      </c>
      <c r="I96" s="11">
        <f t="shared" ref="I96:I106" si="26">-(($H$2^2+2*(F96+$I$90+$I$91)*$G$2*$H$2*$I$2+(F96+$I$90+$I$91)^2*$G$2^2*$I$2^2)*$I$2*$A$2*(1+$B$2)-$I$2*$G$2*$E$9*$H$2-$I$2^2*$G$2^2*$E$9*(F96+$I$90+$I$91)+($H$2+(F96+$I$90+$I$91)*$G$2*$I$2-$H$2*(F96+$I$90+$I$91)- (F96+$I$90+$I$91)^2*$G$2*$I$2)*$I$2^2*$G$2*$K$91)</f>
        <v>1128750</v>
      </c>
      <c r="J96" s="10">
        <f t="shared" ref="J96:J106" si="27">MAX(MIN((-H96-(H96^2-4*G96*I96)^0.5)/(2*G96),($G$90-$I$90)),0)</f>
        <v>0.29094326667945603</v>
      </c>
      <c r="K96" s="10">
        <f t="shared" ref="K96:K105" si="28">(-H96+(H96^2-4*G96*I96)^0.5)/(2*G96)</f>
        <v>-1.7242766000127894</v>
      </c>
    </row>
    <row r="97" spans="6:11" x14ac:dyDescent="0.25">
      <c r="F97" s="1">
        <v>0.1</v>
      </c>
      <c r="G97">
        <f t="shared" si="24"/>
        <v>-2250000</v>
      </c>
      <c r="H97">
        <f t="shared" si="25"/>
        <v>-3450000</v>
      </c>
      <c r="I97" s="11">
        <f t="shared" si="26"/>
        <v>1121250</v>
      </c>
      <c r="J97" s="10">
        <f t="shared" si="27"/>
        <v>0.27549988005756543</v>
      </c>
      <c r="K97" s="10">
        <f t="shared" si="28"/>
        <v>-1.8088332133908989</v>
      </c>
    </row>
    <row r="98" spans="6:11" x14ac:dyDescent="0.25">
      <c r="F98" s="1">
        <v>0.15</v>
      </c>
      <c r="G98">
        <f t="shared" si="24"/>
        <v>-2250000</v>
      </c>
      <c r="H98">
        <f t="shared" si="25"/>
        <v>-3675000</v>
      </c>
      <c r="I98" s="11">
        <f t="shared" si="26"/>
        <v>1102500</v>
      </c>
      <c r="J98" s="10">
        <f t="shared" si="27"/>
        <v>0.25894685335083678</v>
      </c>
      <c r="K98" s="10">
        <f t="shared" si="28"/>
        <v>-1.8922801866841701</v>
      </c>
    </row>
    <row r="99" spans="6:11" x14ac:dyDescent="0.25">
      <c r="F99" s="1">
        <v>0.2</v>
      </c>
      <c r="G99">
        <f t="shared" si="24"/>
        <v>-2250000</v>
      </c>
      <c r="H99">
        <f t="shared" si="25"/>
        <v>-3900000</v>
      </c>
      <c r="I99" s="11">
        <f t="shared" si="26"/>
        <v>1072500</v>
      </c>
      <c r="J99" s="10">
        <f t="shared" si="27"/>
        <v>0.24138467590631069</v>
      </c>
      <c r="K99" s="10">
        <f t="shared" si="28"/>
        <v>-1.9747180092396439</v>
      </c>
    </row>
    <row r="100" spans="6:11" x14ac:dyDescent="0.25">
      <c r="F100" s="1">
        <v>0.25</v>
      </c>
      <c r="G100">
        <f t="shared" si="24"/>
        <v>-2250000</v>
      </c>
      <c r="H100">
        <f t="shared" si="25"/>
        <v>-4125000</v>
      </c>
      <c r="I100" s="11">
        <f t="shared" si="26"/>
        <v>1031250</v>
      </c>
      <c r="J100" s="10">
        <f t="shared" si="27"/>
        <v>0.22289952759811199</v>
      </c>
      <c r="K100" s="10">
        <f t="shared" si="28"/>
        <v>-2.0562328609314453</v>
      </c>
    </row>
    <row r="101" spans="6:11" x14ac:dyDescent="0.25">
      <c r="F101" s="1">
        <v>0.3</v>
      </c>
      <c r="G101">
        <f t="shared" si="24"/>
        <v>-2250000</v>
      </c>
      <c r="H101">
        <f t="shared" si="25"/>
        <v>-4350000</v>
      </c>
      <c r="I101" s="11">
        <f t="shared" si="26"/>
        <v>978750</v>
      </c>
      <c r="J101" s="10">
        <f t="shared" si="27"/>
        <v>0.20356597876946381</v>
      </c>
      <c r="K101" s="10">
        <f t="shared" si="28"/>
        <v>-2.136899312102797</v>
      </c>
    </row>
    <row r="102" spans="6:11" x14ac:dyDescent="0.25">
      <c r="F102" s="1">
        <v>0.35</v>
      </c>
      <c r="G102">
        <f t="shared" si="24"/>
        <v>-2250000</v>
      </c>
      <c r="H102">
        <f t="shared" si="25"/>
        <v>-4575000</v>
      </c>
      <c r="I102" s="11">
        <f t="shared" si="26"/>
        <v>915000</v>
      </c>
      <c r="J102" s="10">
        <f t="shared" si="27"/>
        <v>0.18344906849297943</v>
      </c>
      <c r="K102" s="10">
        <f t="shared" si="28"/>
        <v>-2.2167824018263129</v>
      </c>
    </row>
    <row r="103" spans="6:11" x14ac:dyDescent="0.25">
      <c r="F103" s="1">
        <v>0.4</v>
      </c>
      <c r="G103">
        <f t="shared" si="24"/>
        <v>-2250000</v>
      </c>
      <c r="H103">
        <f t="shared" si="25"/>
        <v>-4800000</v>
      </c>
      <c r="I103" s="11">
        <f t="shared" si="26"/>
        <v>840000</v>
      </c>
      <c r="J103" s="10">
        <f t="shared" si="27"/>
        <v>0.16260592763905166</v>
      </c>
      <c r="K103" s="10">
        <f t="shared" si="28"/>
        <v>-2.2959392609723848</v>
      </c>
    </row>
    <row r="104" spans="6:11" x14ac:dyDescent="0.25">
      <c r="F104" s="1">
        <v>0.45</v>
      </c>
      <c r="G104">
        <f t="shared" si="24"/>
        <v>-2250000</v>
      </c>
      <c r="H104">
        <f t="shared" si="25"/>
        <v>-5025000</v>
      </c>
      <c r="I104" s="11">
        <f t="shared" si="26"/>
        <v>753750</v>
      </c>
      <c r="J104" s="10">
        <f t="shared" si="27"/>
        <v>0.14108706298172702</v>
      </c>
      <c r="K104" s="10">
        <f t="shared" si="28"/>
        <v>-2.3744203963150605</v>
      </c>
    </row>
    <row r="105" spans="6:11" x14ac:dyDescent="0.25">
      <c r="F105" s="1">
        <v>0.5</v>
      </c>
      <c r="G105">
        <f t="shared" si="24"/>
        <v>-2250000</v>
      </c>
      <c r="H105">
        <f t="shared" si="25"/>
        <v>-5250000</v>
      </c>
      <c r="I105" s="11">
        <f t="shared" si="26"/>
        <v>656250</v>
      </c>
      <c r="J105" s="10">
        <f t="shared" si="27"/>
        <v>0.11893738504512608</v>
      </c>
      <c r="K105" s="10">
        <f t="shared" si="28"/>
        <v>-2.4522707183784593</v>
      </c>
    </row>
    <row r="106" spans="6:11" x14ac:dyDescent="0.25">
      <c r="F106" s="1">
        <v>0.23029115240165601</v>
      </c>
      <c r="G106">
        <f t="shared" si="24"/>
        <v>-2250000</v>
      </c>
      <c r="H106">
        <f t="shared" si="25"/>
        <v>-4036310.1858074069</v>
      </c>
      <c r="I106" s="11">
        <f t="shared" si="26"/>
        <v>1048853.057607621</v>
      </c>
      <c r="J106" s="10">
        <f t="shared" si="27"/>
        <v>0.23029115240163728</v>
      </c>
      <c r="K106">
        <v>0.230291152401637</v>
      </c>
    </row>
    <row r="107" spans="6:11" x14ac:dyDescent="0.25">
      <c r="F107" t="s">
        <v>57</v>
      </c>
      <c r="G107" t="s">
        <v>22</v>
      </c>
      <c r="I107" t="s">
        <v>58</v>
      </c>
    </row>
    <row r="108" spans="6:11" x14ac:dyDescent="0.25">
      <c r="F108">
        <v>1</v>
      </c>
      <c r="G108" s="1">
        <v>0.8</v>
      </c>
      <c r="H108" t="s">
        <v>20</v>
      </c>
      <c r="I108" s="1">
        <v>0</v>
      </c>
      <c r="J108" t="s">
        <v>55</v>
      </c>
      <c r="K108">
        <v>1</v>
      </c>
    </row>
    <row r="109" spans="6:11" x14ac:dyDescent="0.25">
      <c r="F109">
        <v>2</v>
      </c>
      <c r="G109" s="1">
        <v>0.2</v>
      </c>
      <c r="H109" t="s">
        <v>21</v>
      </c>
      <c r="I109" s="1">
        <v>0</v>
      </c>
      <c r="J109" t="s">
        <v>43</v>
      </c>
      <c r="K109">
        <f>$A$2*(1+$B$2*(1-$F$2)*K108)</f>
        <v>104</v>
      </c>
    </row>
    <row r="110" spans="6:11" x14ac:dyDescent="0.25">
      <c r="K110" s="1"/>
    </row>
    <row r="111" spans="6:11" x14ac:dyDescent="0.25">
      <c r="F111" t="s">
        <v>61</v>
      </c>
      <c r="G111" t="s">
        <v>66</v>
      </c>
      <c r="H111" t="s">
        <v>67</v>
      </c>
      <c r="I111" t="s">
        <v>68</v>
      </c>
      <c r="J111" t="s">
        <v>65</v>
      </c>
    </row>
    <row r="112" spans="6:11" x14ac:dyDescent="0.25">
      <c r="F112" s="1">
        <v>0</v>
      </c>
      <c r="G112">
        <f>-($I$2^2*$G$2^2*($I$2*$A$2*(1+$B$2)-$I$2*$K$109))</f>
        <v>-2250000</v>
      </c>
      <c r="H112">
        <f>-($A$2*(1+$B$2)*$I$2*(2*$G$2*$H$2*$I$2+2*(F112+$I$108+$I$109)*$G$2^2*$I$2^2)+$I$2^2*$G$2*$K$109*(-2*$H$2-2*(F112+$I$108+$I$109)*$G$2*$I$2))</f>
        <v>-3000000</v>
      </c>
      <c r="I112" s="12">
        <f>-(($H$2^2+2*(F112+$I$108+$I$109)*$G$2*$H$2*$I$2+(F112+$I$108+$I$109)^2*$G$2^2*$I$2^2)*$I$2*$A$2*(1+$B$2)-$I$2*$G$2*$E$9*$H$2-$I$2^2*$G$2^2*$E$9*(F112+$I$108+$I$109)+($H$2+(F112+$I$108+$I$109)*$G$2*$I$2-$H$2*(F112+$I$108+$I$109)- (F112+$I$108+$I$109)^2*$G$2*$I$2)*$I$2^2*$G$2*$K$109)</f>
        <v>1125000</v>
      </c>
      <c r="J112" s="10">
        <f>MAX(MIN((-H112-(H112^2-4*G112*I112)^0.5)/(2*G112),($G$109-$I$109)),0)</f>
        <v>0.2</v>
      </c>
      <c r="K112" s="10">
        <f>(-H112+(H112^2-4*G112*I112)^0.5)/(2*G112)</f>
        <v>-1.6384919824742168</v>
      </c>
    </row>
    <row r="113" spans="6:11" x14ac:dyDescent="0.25">
      <c r="F113" s="1">
        <v>0.05</v>
      </c>
      <c r="G113">
        <f t="shared" ref="G113:G129" si="29">-($I$2^2*$G$2^2*($I$2*$A$2*(1+$B$2)-$I$2*$K$109))</f>
        <v>-2250000</v>
      </c>
      <c r="H113">
        <f t="shared" ref="H113:H129" si="30">-($A$2*(1+$B$2)*$I$2*(2*$G$2*$H$2*$I$2+2*(F113+$I$108+$I$109)*$G$2^2*$I$2^2)+$I$2^2*$G$2*$K$109*(-2*$H$2-2*(F113+$I$108+$I$109)*$G$2*$I$2))</f>
        <v>-3225000</v>
      </c>
      <c r="I113" s="12">
        <f t="shared" ref="I113:I129" si="31">-(($H$2^2+2*(F113+$I$108+$I$109)*$G$2*$H$2*$I$2+(F113+$I$108+$I$109)^2*$G$2^2*$I$2^2)*$I$2*$A$2*(1+$B$2)-$I$2*$G$2*$E$9*$H$2-$I$2^2*$G$2^2*$E$9*(F113+$I$108+$I$109)+($H$2+(F113+$I$108+$I$109)*$G$2*$I$2-$H$2*(F113+$I$108+$I$109)- (F113+$I$108+$I$109)^2*$G$2*$I$2)*$I$2^2*$G$2*$K$109)</f>
        <v>1128750</v>
      </c>
      <c r="J113" s="10">
        <f t="shared" ref="J113:J129" si="32">MAX(MIN((-H113-(H113^2-4*G113*I113)^0.5)/(2*G113),($G$109-$I$109)),0)</f>
        <v>0.2</v>
      </c>
      <c r="K113" s="10">
        <f t="shared" ref="K113:K135" si="33">(-H113+(H113^2-4*G113*I113)^0.5)/(2*G113)</f>
        <v>-1.7242766000127894</v>
      </c>
    </row>
    <row r="114" spans="6:11" x14ac:dyDescent="0.25">
      <c r="F114" s="1">
        <v>0.1</v>
      </c>
      <c r="G114">
        <f t="shared" si="29"/>
        <v>-2250000</v>
      </c>
      <c r="H114">
        <f t="shared" si="30"/>
        <v>-3450000</v>
      </c>
      <c r="I114" s="12">
        <f t="shared" si="31"/>
        <v>1121250</v>
      </c>
      <c r="J114" s="10">
        <f t="shared" si="32"/>
        <v>0.2</v>
      </c>
      <c r="K114" s="10">
        <f t="shared" si="33"/>
        <v>-1.8088332133908989</v>
      </c>
    </row>
    <row r="115" spans="6:11" x14ac:dyDescent="0.25">
      <c r="F115" s="1">
        <v>0.15</v>
      </c>
      <c r="G115">
        <f t="shared" si="29"/>
        <v>-2250000</v>
      </c>
      <c r="H115">
        <f t="shared" si="30"/>
        <v>-3675000</v>
      </c>
      <c r="I115" s="12">
        <f t="shared" si="31"/>
        <v>1102500</v>
      </c>
      <c r="J115" s="10">
        <f t="shared" si="32"/>
        <v>0.2</v>
      </c>
      <c r="K115" s="10">
        <f t="shared" si="33"/>
        <v>-1.8922801866841701</v>
      </c>
    </row>
    <row r="116" spans="6:11" x14ac:dyDescent="0.25">
      <c r="F116" s="1">
        <v>0.2</v>
      </c>
      <c r="G116">
        <f t="shared" si="29"/>
        <v>-2250000</v>
      </c>
      <c r="H116">
        <f t="shared" si="30"/>
        <v>-3900000</v>
      </c>
      <c r="I116" s="12">
        <f t="shared" si="31"/>
        <v>1072500</v>
      </c>
      <c r="J116" s="10">
        <f t="shared" si="32"/>
        <v>0.2</v>
      </c>
      <c r="K116" s="10">
        <f t="shared" si="33"/>
        <v>-1.9747180092396439</v>
      </c>
    </row>
    <row r="117" spans="6:11" x14ac:dyDescent="0.25">
      <c r="F117" s="1">
        <v>0.25</v>
      </c>
      <c r="G117">
        <f t="shared" si="29"/>
        <v>-2250000</v>
      </c>
      <c r="H117">
        <f t="shared" si="30"/>
        <v>-4125000</v>
      </c>
      <c r="I117" s="12">
        <f t="shared" si="31"/>
        <v>1031250</v>
      </c>
      <c r="J117" s="10">
        <f t="shared" si="32"/>
        <v>0.2</v>
      </c>
      <c r="K117" s="10">
        <f t="shared" si="33"/>
        <v>-2.0562328609314453</v>
      </c>
    </row>
    <row r="118" spans="6:11" x14ac:dyDescent="0.25">
      <c r="F118" s="1">
        <v>0.3</v>
      </c>
      <c r="G118">
        <f t="shared" si="29"/>
        <v>-2250000</v>
      </c>
      <c r="H118">
        <f t="shared" si="30"/>
        <v>-4350000</v>
      </c>
      <c r="I118" s="12">
        <f t="shared" si="31"/>
        <v>978750</v>
      </c>
      <c r="J118" s="10">
        <f t="shared" si="32"/>
        <v>0.2</v>
      </c>
      <c r="K118" s="10">
        <f t="shared" si="33"/>
        <v>-2.136899312102797</v>
      </c>
    </row>
    <row r="119" spans="6:11" x14ac:dyDescent="0.25">
      <c r="F119" s="1">
        <v>0.35</v>
      </c>
      <c r="G119">
        <f t="shared" si="29"/>
        <v>-2250000</v>
      </c>
      <c r="H119">
        <f t="shared" si="30"/>
        <v>-4575000</v>
      </c>
      <c r="I119" s="12">
        <f t="shared" si="31"/>
        <v>915000</v>
      </c>
      <c r="J119" s="10">
        <f t="shared" si="32"/>
        <v>0.18344906849297943</v>
      </c>
      <c r="K119" s="10">
        <f t="shared" si="33"/>
        <v>-2.2167824018263129</v>
      </c>
    </row>
    <row r="120" spans="6:11" x14ac:dyDescent="0.25">
      <c r="F120" s="1">
        <v>0.4</v>
      </c>
      <c r="G120">
        <f t="shared" si="29"/>
        <v>-2250000</v>
      </c>
      <c r="H120">
        <f t="shared" si="30"/>
        <v>-4800000</v>
      </c>
      <c r="I120" s="12">
        <f t="shared" si="31"/>
        <v>840000</v>
      </c>
      <c r="J120" s="10">
        <f t="shared" si="32"/>
        <v>0.16260592763905166</v>
      </c>
      <c r="K120" s="10">
        <f t="shared" si="33"/>
        <v>-2.2959392609723848</v>
      </c>
    </row>
    <row r="121" spans="6:11" x14ac:dyDescent="0.25">
      <c r="F121" s="1">
        <v>0.45</v>
      </c>
      <c r="G121">
        <f t="shared" si="29"/>
        <v>-2250000</v>
      </c>
      <c r="H121">
        <f t="shared" si="30"/>
        <v>-5025000</v>
      </c>
      <c r="I121" s="12">
        <f t="shared" si="31"/>
        <v>753750</v>
      </c>
      <c r="J121" s="10">
        <f t="shared" si="32"/>
        <v>0.14108706298172702</v>
      </c>
      <c r="K121" s="10">
        <f t="shared" si="33"/>
        <v>-2.3744203963150605</v>
      </c>
    </row>
    <row r="122" spans="6:11" x14ac:dyDescent="0.25">
      <c r="F122" s="1">
        <v>0.5</v>
      </c>
      <c r="G122">
        <f t="shared" si="29"/>
        <v>-2250000</v>
      </c>
      <c r="H122">
        <f t="shared" si="30"/>
        <v>-5250000</v>
      </c>
      <c r="I122" s="12">
        <f t="shared" si="31"/>
        <v>656250</v>
      </c>
      <c r="J122" s="10">
        <f t="shared" si="32"/>
        <v>0.11893738504512608</v>
      </c>
      <c r="K122" s="10">
        <f t="shared" si="33"/>
        <v>-2.4522707183784593</v>
      </c>
    </row>
    <row r="123" spans="6:11" x14ac:dyDescent="0.25">
      <c r="F123" s="1">
        <v>0.55000000000000004</v>
      </c>
      <c r="G123">
        <f t="shared" si="29"/>
        <v>-2250000</v>
      </c>
      <c r="H123">
        <f t="shared" si="30"/>
        <v>-5475000</v>
      </c>
      <c r="I123" s="12">
        <f t="shared" si="31"/>
        <v>547500.0000000298</v>
      </c>
      <c r="J123" s="10">
        <f t="shared" si="32"/>
        <v>9.619703955387035E-2</v>
      </c>
      <c r="K123" s="10">
        <f t="shared" si="33"/>
        <v>-2.5295303728872036</v>
      </c>
    </row>
    <row r="124" spans="6:11" x14ac:dyDescent="0.25">
      <c r="F124" s="1">
        <v>0.6</v>
      </c>
      <c r="G124">
        <f t="shared" si="29"/>
        <v>-2250000</v>
      </c>
      <c r="H124">
        <f t="shared" si="30"/>
        <v>-5700000</v>
      </c>
      <c r="I124" s="12">
        <f t="shared" si="31"/>
        <v>427500.00000011921</v>
      </c>
      <c r="J124" s="10">
        <f t="shared" si="32"/>
        <v>7.290208649402774E-2</v>
      </c>
      <c r="K124" s="10">
        <f t="shared" si="33"/>
        <v>-2.6062354198273612</v>
      </c>
    </row>
    <row r="125" spans="6:11" x14ac:dyDescent="0.25">
      <c r="F125" s="1">
        <v>0.65</v>
      </c>
      <c r="G125">
        <f t="shared" si="29"/>
        <v>-2250000</v>
      </c>
      <c r="H125">
        <f t="shared" si="30"/>
        <v>-5925000</v>
      </c>
      <c r="I125" s="12">
        <f t="shared" si="31"/>
        <v>296250</v>
      </c>
      <c r="J125" s="10">
        <f t="shared" si="32"/>
        <v>4.9085059591725259E-2</v>
      </c>
      <c r="K125" s="10">
        <f t="shared" si="33"/>
        <v>-2.6824183929250589</v>
      </c>
    </row>
    <row r="126" spans="6:11" x14ac:dyDescent="0.25">
      <c r="F126" s="1">
        <v>0.7</v>
      </c>
      <c r="G126">
        <f t="shared" si="29"/>
        <v>-2250000</v>
      </c>
      <c r="H126">
        <f t="shared" si="30"/>
        <v>-6150000</v>
      </c>
      <c r="I126" s="12">
        <f t="shared" si="31"/>
        <v>153750.00000008941</v>
      </c>
      <c r="J126" s="10">
        <f t="shared" si="32"/>
        <v>2.4775430982801029E-2</v>
      </c>
      <c r="K126" s="10">
        <f t="shared" si="33"/>
        <v>-2.7581087643161339</v>
      </c>
    </row>
    <row r="127" spans="6:11" x14ac:dyDescent="0.25">
      <c r="F127" s="1">
        <v>0.75</v>
      </c>
      <c r="G127">
        <f t="shared" si="29"/>
        <v>-2250000</v>
      </c>
      <c r="H127">
        <f t="shared" si="30"/>
        <v>-6375000</v>
      </c>
      <c r="I127" s="12">
        <f t="shared" si="31"/>
        <v>0</v>
      </c>
      <c r="J127" s="10">
        <f t="shared" si="32"/>
        <v>0</v>
      </c>
      <c r="K127" s="10">
        <f t="shared" si="33"/>
        <v>-2.8333333333333335</v>
      </c>
    </row>
    <row r="128" spans="6:11" x14ac:dyDescent="0.25">
      <c r="F128" s="1">
        <v>0.8</v>
      </c>
      <c r="G128">
        <f t="shared" si="29"/>
        <v>-2250000</v>
      </c>
      <c r="H128">
        <f t="shared" si="30"/>
        <v>-6600000</v>
      </c>
      <c r="I128" s="12">
        <f t="shared" si="31"/>
        <v>-164999.9999999702</v>
      </c>
      <c r="J128" s="10">
        <f t="shared" si="32"/>
        <v>0</v>
      </c>
      <c r="K128" s="10">
        <f t="shared" si="33"/>
        <v>-2.908116554029315</v>
      </c>
    </row>
    <row r="129" spans="6:13" x14ac:dyDescent="0.25">
      <c r="K129" s="10"/>
    </row>
    <row r="130" spans="6:13" x14ac:dyDescent="0.25">
      <c r="F130" t="s">
        <v>70</v>
      </c>
      <c r="G130" t="s">
        <v>66</v>
      </c>
      <c r="H130" t="s">
        <v>67</v>
      </c>
      <c r="I130" t="s">
        <v>68</v>
      </c>
      <c r="J130" t="s">
        <v>69</v>
      </c>
      <c r="K130" s="10"/>
    </row>
    <row r="131" spans="6:13" x14ac:dyDescent="0.25">
      <c r="F131" s="1">
        <v>0</v>
      </c>
      <c r="G131">
        <f>-($I$2^2*$G$2^2*($I$2*$A$2*(1+$B$2)-$I$2*$K$109))</f>
        <v>-2250000</v>
      </c>
      <c r="H131">
        <f>-($A$2*(1+$B$2)*$I$2*(2*$G$2*$H$2*$I$2+2*(F131+$I$108+$I$109)*$G$2^2*$I$2^2)+$I$2^2*$G$2*$K$109*(-2*$H$2-2*(F131+$I$108+$I$109)*$G$2*$I$2))</f>
        <v>-3000000</v>
      </c>
      <c r="I131" s="13">
        <f>-(($H$2^2+2*(F131+$I$108+$I$109)*$G$2*$H$2*$I$2+(F131+$I$108+$I$109)^2*$G$2^2*$I$2^2)*$I$2*$A$2*(1+$B$2)-$I$2*$G$2*$E$9*$H$2-$I$2^2*$G$2^2*$E$9*(F131+$I$108+$I$109)+($H$2+(F131+$I$108+$I$109)*$G$2*$I$2-$H$2*(F131+$I$108+$I$109)- (F131+$I$108+$I$109)^2*$G$2*$I$2)*$I$2^2*$G$2*$K$109)</f>
        <v>1125000</v>
      </c>
      <c r="J131" s="10">
        <f>MAX(MIN((-H131-(H131^2-4*G131*I131)^0.5)/(2*G131),($G$108-$I$109)),0)</f>
        <v>0.30515864914088342</v>
      </c>
      <c r="K131" s="10">
        <f t="shared" si="33"/>
        <v>-1.6384919824742168</v>
      </c>
    </row>
    <row r="132" spans="6:13" x14ac:dyDescent="0.25">
      <c r="F132" s="1">
        <v>0.05</v>
      </c>
      <c r="G132">
        <f t="shared" ref="G132:G134" si="34">-($I$2^2*$G$2^2*($I$2*$A$2*(1+$B$2)-$I$2*$K$109))</f>
        <v>-2250000</v>
      </c>
      <c r="H132">
        <f t="shared" ref="H132:H135" si="35">-($A$2*(1+$B$2)*$I$2*(2*$G$2*$H$2*$I$2+2*(F132+$I$108+$I$109)*$G$2^2*$I$2^2)+$I$2^2*$G$2*$K$109*(-2*$H$2-2*(F132+$I$108+$I$109)*$G$2*$I$2))</f>
        <v>-3225000</v>
      </c>
      <c r="I132" s="13">
        <f t="shared" ref="I132:I135" si="36">-(($H$2^2+2*(F132+$I$108+$I$109)*$G$2*$H$2*$I$2+(F132+$I$108+$I$109)^2*$G$2^2*$I$2^2)*$I$2*$A$2*(1+$B$2)-$I$2*$G$2*$E$9*$H$2-$I$2^2*$G$2^2*$E$9*(F132+$I$108+$I$109)+($H$2+(F132+$I$108+$I$109)*$G$2*$I$2-$H$2*(F132+$I$108+$I$109)- (F132+$I$108+$I$109)^2*$G$2*$I$2)*$I$2^2*$G$2*$K$109)</f>
        <v>1128750</v>
      </c>
      <c r="J132" s="10">
        <f t="shared" ref="J132:J135" si="37">MAX(MIN((-H132-(H132^2-4*G132*I132)^0.5)/(2*G132),($G$108-$I$109)),0)</f>
        <v>0.29094326667945603</v>
      </c>
      <c r="K132" s="10">
        <f t="shared" si="33"/>
        <v>-1.7242766000127894</v>
      </c>
    </row>
    <row r="133" spans="6:13" x14ac:dyDescent="0.25">
      <c r="F133" s="1">
        <v>0.1</v>
      </c>
      <c r="G133">
        <f t="shared" si="34"/>
        <v>-2250000</v>
      </c>
      <c r="H133">
        <f t="shared" si="35"/>
        <v>-3450000</v>
      </c>
      <c r="I133" s="13">
        <f t="shared" si="36"/>
        <v>1121250</v>
      </c>
      <c r="J133" s="10">
        <f t="shared" si="37"/>
        <v>0.27549988005756543</v>
      </c>
      <c r="K133" s="10">
        <f t="shared" si="33"/>
        <v>-1.8088332133908989</v>
      </c>
    </row>
    <row r="134" spans="6:13" x14ac:dyDescent="0.25">
      <c r="F134" s="1">
        <v>0.15</v>
      </c>
      <c r="G134">
        <f t="shared" si="34"/>
        <v>-2250000</v>
      </c>
      <c r="H134">
        <f t="shared" si="35"/>
        <v>-3675000</v>
      </c>
      <c r="I134" s="13">
        <f t="shared" si="36"/>
        <v>1102500</v>
      </c>
      <c r="J134" s="10">
        <f t="shared" si="37"/>
        <v>0.25894685335083678</v>
      </c>
      <c r="K134" s="10">
        <f t="shared" si="33"/>
        <v>-1.8922801866841701</v>
      </c>
    </row>
    <row r="135" spans="6:13" x14ac:dyDescent="0.25">
      <c r="F135" s="1">
        <v>0.2</v>
      </c>
      <c r="G135">
        <f>-($I$2^2*$G$2^2*($I$2*$A$2*(1+$B$2)-$I$2*$K$109))</f>
        <v>-2250000</v>
      </c>
      <c r="H135">
        <f t="shared" si="35"/>
        <v>-3900000</v>
      </c>
      <c r="I135" s="13">
        <f t="shared" si="36"/>
        <v>1072500</v>
      </c>
      <c r="J135" s="10">
        <f t="shared" si="37"/>
        <v>0.24138467590631069</v>
      </c>
      <c r="K135" s="10">
        <f t="shared" si="33"/>
        <v>-1.9747180092396439</v>
      </c>
    </row>
    <row r="137" spans="6:13" x14ac:dyDescent="0.25">
      <c r="F137" t="s">
        <v>71</v>
      </c>
      <c r="G137" s="1">
        <v>0.2</v>
      </c>
      <c r="H137" t="s">
        <v>72</v>
      </c>
      <c r="I137" s="1">
        <v>0.5</v>
      </c>
    </row>
    <row r="138" spans="6:13" x14ac:dyDescent="0.25">
      <c r="F138" t="s">
        <v>73</v>
      </c>
      <c r="G138">
        <v>0</v>
      </c>
      <c r="H138" t="s">
        <v>74</v>
      </c>
      <c r="I138">
        <v>0</v>
      </c>
      <c r="J138" t="s">
        <v>75</v>
      </c>
      <c r="K138" t="s">
        <v>76</v>
      </c>
      <c r="L138" t="s">
        <v>77</v>
      </c>
    </row>
    <row r="139" spans="6:13" x14ac:dyDescent="0.25">
      <c r="F139" s="1">
        <v>0</v>
      </c>
      <c r="G139" s="14">
        <f>($I$137-F139-$G$138)*$I$2*$A$2*(1+$B$2)+F139*$I$2*$G$2*($E$9-(1-($G$137+F139+$I$138+$G$138))*$I$2*$A$2*(1+$B$2*(1-$F$2)*$D$2))/($H$2+$G$2*$I$2*($G$137+F139+$I$138+$G$138))</f>
        <v>5250</v>
      </c>
      <c r="J139">
        <f>$I$2^2*$G$2^2*($I$2*$A$2*(1+$B$2)-$I$2*$K$91)</f>
        <v>2250000</v>
      </c>
      <c r="K139">
        <f>(2*$G$2*$I$2*$H$2+2*F80*$G$2^2*$I$2^2)*$I$2*$A$2*(1+$B$2)-$I$2^3*$G$2^2*(1-F80)*$J$59+($G$2*$I$2-2*$H$2-3*F80*$G$2*$I$2)*$I$2^2*$G$2*$J$59</f>
        <v>3900000</v>
      </c>
      <c r="L139">
        <f>($H$2^2+2*(F99+$I$90+$I$91)*$G$2*$H$2*$I$2+(F99+$I$90+$I$91)^2*$G$2^2*$I$2^2)*$I$2*$A$2*(1+$B$2)-$I$2*$G$2*$E$9*$H$2-$I$2^2*$G$2^2*$E$9*(F99+$I$90+$I$91)+($H$2+(F99+$I$90+$I$91)*$G$2*$I$2-$H$2*(F99+$I$90+$I$91)- (F99+$I$90+$I$91)^2*$G$2*$I$2)*$I$2^2*$G$2*$K$91</f>
        <v>-1072500</v>
      </c>
      <c r="M139">
        <f>-1*($J$139*F139^2+$K$139*F139+$L$139)</f>
        <v>1072500</v>
      </c>
    </row>
    <row r="140" spans="6:13" x14ac:dyDescent="0.25">
      <c r="F140" s="1">
        <v>0.01</v>
      </c>
      <c r="G140" s="14">
        <f t="shared" ref="G140:G189" si="38">($I$137-F140-$G$138)*$I$2*$A$2*(1+$B$2)+F140*$I$2*$G$2*($E$9-(1-($G$137+F140+$I$138+$G$138))*$I$2*$A$2*(1+$B$2*(1-$F$2)*$D$2))/($H$2+$G$2*$I$2*($G$137+F140+$I$138+$G$138))</f>
        <v>5250.6159695817487</v>
      </c>
      <c r="M140">
        <f t="shared" ref="M140:M189" si="39">-1*($J$139*F140^2+$K$139*F140+$L$139)</f>
        <v>1033275</v>
      </c>
    </row>
    <row r="141" spans="6:13" x14ac:dyDescent="0.25">
      <c r="F141" s="1">
        <v>0.02</v>
      </c>
      <c r="G141" s="14">
        <f t="shared" si="38"/>
        <v>5251.1954887218044</v>
      </c>
      <c r="M141">
        <f t="shared" si="39"/>
        <v>993600</v>
      </c>
    </row>
    <row r="142" spans="6:13" x14ac:dyDescent="0.25">
      <c r="F142" s="1">
        <v>0.03</v>
      </c>
      <c r="G142" s="14">
        <f t="shared" si="38"/>
        <v>5251.7397769516729</v>
      </c>
      <c r="M142">
        <f t="shared" si="39"/>
        <v>953475</v>
      </c>
    </row>
    <row r="143" spans="6:13" x14ac:dyDescent="0.25">
      <c r="F143" s="1">
        <v>0.04</v>
      </c>
      <c r="G143" s="14">
        <f t="shared" si="38"/>
        <v>5252.25</v>
      </c>
      <c r="M143">
        <f t="shared" si="39"/>
        <v>912900</v>
      </c>
    </row>
    <row r="144" spans="6:13" x14ac:dyDescent="0.25">
      <c r="F144" s="1">
        <v>0.05</v>
      </c>
      <c r="G144" s="14">
        <f t="shared" si="38"/>
        <v>5252.727272727273</v>
      </c>
      <c r="M144">
        <f t="shared" si="39"/>
        <v>871875</v>
      </c>
    </row>
    <row r="145" spans="6:13" x14ac:dyDescent="0.25">
      <c r="F145" s="1">
        <v>0.06</v>
      </c>
      <c r="G145" s="14">
        <f t="shared" si="38"/>
        <v>5253.1726618705034</v>
      </c>
      <c r="M145">
        <f t="shared" si="39"/>
        <v>830400</v>
      </c>
    </row>
    <row r="146" spans="6:13" x14ac:dyDescent="0.25">
      <c r="F146" s="1">
        <v>7.0000000000000007E-2</v>
      </c>
      <c r="G146" s="14">
        <f t="shared" si="38"/>
        <v>5253.5871886120995</v>
      </c>
      <c r="M146">
        <f t="shared" si="39"/>
        <v>788475</v>
      </c>
    </row>
    <row r="147" spans="6:13" x14ac:dyDescent="0.25">
      <c r="F147" s="1">
        <v>0.08</v>
      </c>
      <c r="G147" s="14">
        <f t="shared" si="38"/>
        <v>5253.9718309859154</v>
      </c>
      <c r="M147">
        <f t="shared" si="39"/>
        <v>746100</v>
      </c>
    </row>
    <row r="148" spans="6:13" x14ac:dyDescent="0.25">
      <c r="F148" s="1">
        <v>0.09</v>
      </c>
      <c r="G148" s="14">
        <f t="shared" si="38"/>
        <v>5254.3275261324043</v>
      </c>
      <c r="M148">
        <f t="shared" si="39"/>
        <v>703275</v>
      </c>
    </row>
    <row r="149" spans="6:13" x14ac:dyDescent="0.25">
      <c r="F149" s="1">
        <v>0.1</v>
      </c>
      <c r="G149" s="14">
        <f t="shared" si="38"/>
        <v>5254.6551724137935</v>
      </c>
      <c r="M149">
        <f t="shared" si="39"/>
        <v>660000</v>
      </c>
    </row>
    <row r="150" spans="6:13" x14ac:dyDescent="0.25">
      <c r="F150" s="1">
        <v>0.11</v>
      </c>
      <c r="G150" s="14">
        <f t="shared" si="38"/>
        <v>5254.9556313993171</v>
      </c>
      <c r="M150">
        <f t="shared" si="39"/>
        <v>616275</v>
      </c>
    </row>
    <row r="151" spans="6:13" x14ac:dyDescent="0.25">
      <c r="F151" s="1">
        <v>0.12</v>
      </c>
      <c r="G151" s="14">
        <f t="shared" si="38"/>
        <v>5255.22972972973</v>
      </c>
      <c r="M151">
        <f t="shared" si="39"/>
        <v>572100</v>
      </c>
    </row>
    <row r="152" spans="6:13" x14ac:dyDescent="0.25">
      <c r="F152" s="1">
        <v>0.13</v>
      </c>
      <c r="G152" s="14">
        <f t="shared" si="38"/>
        <v>5255.478260869565</v>
      </c>
      <c r="M152">
        <f t="shared" si="39"/>
        <v>527475</v>
      </c>
    </row>
    <row r="153" spans="6:13" x14ac:dyDescent="0.25">
      <c r="F153" s="1">
        <v>0.14000000000000001</v>
      </c>
      <c r="G153" s="14">
        <f t="shared" si="38"/>
        <v>5255.7019867549679</v>
      </c>
      <c r="M153">
        <f t="shared" si="39"/>
        <v>482400</v>
      </c>
    </row>
    <row r="154" spans="6:13" x14ac:dyDescent="0.25">
      <c r="F154" s="1">
        <v>0.15</v>
      </c>
      <c r="G154" s="14">
        <f t="shared" si="38"/>
        <v>5255.9016393442625</v>
      </c>
      <c r="M154">
        <f t="shared" si="39"/>
        <v>436875</v>
      </c>
    </row>
    <row r="155" spans="6:13" x14ac:dyDescent="0.25">
      <c r="F155" s="1">
        <v>0.16</v>
      </c>
      <c r="G155" s="14">
        <f t="shared" si="38"/>
        <v>5256.0779220779223</v>
      </c>
      <c r="M155">
        <f t="shared" si="39"/>
        <v>390900</v>
      </c>
    </row>
    <row r="156" spans="6:13" x14ac:dyDescent="0.25">
      <c r="F156" s="1">
        <v>0.17</v>
      </c>
      <c r="G156" s="14">
        <f t="shared" si="38"/>
        <v>5256.2315112540182</v>
      </c>
      <c r="M156">
        <f t="shared" si="39"/>
        <v>344475</v>
      </c>
    </row>
    <row r="157" spans="6:13" x14ac:dyDescent="0.25">
      <c r="F157" s="1">
        <v>0.18</v>
      </c>
      <c r="G157" s="14">
        <f t="shared" si="38"/>
        <v>5256.3630573248411</v>
      </c>
      <c r="M157">
        <f t="shared" si="39"/>
        <v>297600</v>
      </c>
    </row>
    <row r="158" spans="6:13" x14ac:dyDescent="0.25">
      <c r="F158" s="1">
        <v>0.19</v>
      </c>
      <c r="G158" s="14">
        <f t="shared" si="38"/>
        <v>5256.4731861198743</v>
      </c>
      <c r="M158">
        <f t="shared" si="39"/>
        <v>250275</v>
      </c>
    </row>
    <row r="159" spans="6:13" x14ac:dyDescent="0.25">
      <c r="F159" s="1">
        <v>0.2</v>
      </c>
      <c r="G159" s="14">
        <f t="shared" si="38"/>
        <v>5256.5625</v>
      </c>
      <c r="M159">
        <f t="shared" si="39"/>
        <v>202500</v>
      </c>
    </row>
    <row r="160" spans="6:13" x14ac:dyDescent="0.25">
      <c r="F160" s="1">
        <v>0.21</v>
      </c>
      <c r="G160" s="14">
        <f t="shared" si="38"/>
        <v>5256.6315789473683</v>
      </c>
      <c r="M160">
        <f t="shared" si="39"/>
        <v>154275</v>
      </c>
    </row>
    <row r="161" spans="6:13" x14ac:dyDescent="0.25">
      <c r="F161" s="1">
        <v>0.22</v>
      </c>
      <c r="G161" s="14">
        <f t="shared" si="38"/>
        <v>5256.6809815950928</v>
      </c>
      <c r="M161">
        <f t="shared" si="39"/>
        <v>105600</v>
      </c>
    </row>
    <row r="162" spans="6:13" x14ac:dyDescent="0.25">
      <c r="F162" s="1">
        <v>0.23</v>
      </c>
      <c r="G162" s="14">
        <f t="shared" si="38"/>
        <v>5256.711246200608</v>
      </c>
      <c r="M162">
        <f t="shared" si="39"/>
        <v>56475</v>
      </c>
    </row>
    <row r="163" spans="6:13" x14ac:dyDescent="0.25">
      <c r="F163" s="1">
        <v>0.24</v>
      </c>
      <c r="G163" s="14">
        <f t="shared" si="38"/>
        <v>5256.7228915662654</v>
      </c>
      <c r="M163">
        <f t="shared" si="39"/>
        <v>6900</v>
      </c>
    </row>
    <row r="164" spans="6:13" x14ac:dyDescent="0.25">
      <c r="F164" s="1">
        <v>0.25</v>
      </c>
      <c r="G164" s="14">
        <f t="shared" si="38"/>
        <v>5256.7164179104475</v>
      </c>
      <c r="M164">
        <f t="shared" si="39"/>
        <v>-43125</v>
      </c>
    </row>
    <row r="165" spans="6:13" x14ac:dyDescent="0.25">
      <c r="F165" s="1">
        <v>0.26</v>
      </c>
      <c r="G165" s="14">
        <f t="shared" si="38"/>
        <v>5256.6923076923076</v>
      </c>
      <c r="M165">
        <f t="shared" si="39"/>
        <v>-93600</v>
      </c>
    </row>
    <row r="166" spans="6:13" x14ac:dyDescent="0.25">
      <c r="F166" s="1">
        <v>0.27</v>
      </c>
      <c r="G166" s="14">
        <f t="shared" si="38"/>
        <v>5256.6510263929613</v>
      </c>
      <c r="M166">
        <f t="shared" si="39"/>
        <v>-144525</v>
      </c>
    </row>
    <row r="167" spans="6:13" x14ac:dyDescent="0.25">
      <c r="F167" s="1">
        <v>0.28000000000000003</v>
      </c>
      <c r="G167" s="14">
        <f t="shared" si="38"/>
        <v>5256.5930232558139</v>
      </c>
      <c r="M167">
        <f t="shared" si="39"/>
        <v>-195900</v>
      </c>
    </row>
    <row r="168" spans="6:13" x14ac:dyDescent="0.25">
      <c r="F168" s="1">
        <v>0.28999999999999998</v>
      </c>
      <c r="G168" s="14">
        <f t="shared" si="38"/>
        <v>5256.5187319884726</v>
      </c>
      <c r="M168">
        <f t="shared" si="39"/>
        <v>-247725</v>
      </c>
    </row>
    <row r="169" spans="6:13" x14ac:dyDescent="0.25">
      <c r="F169" s="1">
        <v>0.3</v>
      </c>
      <c r="G169" s="14">
        <f t="shared" si="38"/>
        <v>5256.4285714285716</v>
      </c>
      <c r="M169">
        <f t="shared" si="39"/>
        <v>-300000</v>
      </c>
    </row>
    <row r="170" spans="6:13" x14ac:dyDescent="0.25">
      <c r="F170" s="1">
        <v>0.31</v>
      </c>
      <c r="G170" s="14">
        <f t="shared" si="38"/>
        <v>5256.3229461756373</v>
      </c>
      <c r="M170">
        <f t="shared" si="39"/>
        <v>-352725</v>
      </c>
    </row>
    <row r="171" spans="6:13" x14ac:dyDescent="0.25">
      <c r="F171" s="1">
        <v>0.32</v>
      </c>
      <c r="G171" s="14">
        <f t="shared" si="38"/>
        <v>5256.2022471910113</v>
      </c>
      <c r="M171">
        <f t="shared" si="39"/>
        <v>-405900</v>
      </c>
    </row>
    <row r="172" spans="6:13" x14ac:dyDescent="0.25">
      <c r="F172" s="1">
        <v>0.33</v>
      </c>
      <c r="G172" s="14">
        <f t="shared" si="38"/>
        <v>5256.0668523676886</v>
      </c>
      <c r="M172">
        <f t="shared" si="39"/>
        <v>-459525</v>
      </c>
    </row>
    <row r="173" spans="6:13" x14ac:dyDescent="0.25">
      <c r="F173" s="1">
        <v>0.34</v>
      </c>
      <c r="G173" s="14">
        <f t="shared" si="38"/>
        <v>5255.9171270718234</v>
      </c>
      <c r="M173">
        <f t="shared" si="39"/>
        <v>-513600</v>
      </c>
    </row>
    <row r="174" spans="6:13" x14ac:dyDescent="0.25">
      <c r="F174" s="1">
        <v>0.35</v>
      </c>
      <c r="G174" s="14">
        <f t="shared" si="38"/>
        <v>5255.7534246575342</v>
      </c>
      <c r="M174">
        <f t="shared" si="39"/>
        <v>-568125</v>
      </c>
    </row>
    <row r="175" spans="6:13" x14ac:dyDescent="0.25">
      <c r="F175" s="1">
        <v>0.36</v>
      </c>
      <c r="G175" s="14">
        <f t="shared" si="38"/>
        <v>5255.576086956522</v>
      </c>
      <c r="M175">
        <f t="shared" si="39"/>
        <v>-623100</v>
      </c>
    </row>
    <row r="176" spans="6:13" x14ac:dyDescent="0.25">
      <c r="F176" s="1">
        <v>0.37</v>
      </c>
      <c r="G176" s="14">
        <f t="shared" si="38"/>
        <v>5255.3854447439353</v>
      </c>
      <c r="M176">
        <f t="shared" si="39"/>
        <v>-678525</v>
      </c>
    </row>
    <row r="177" spans="6:13" x14ac:dyDescent="0.25">
      <c r="F177" s="1">
        <v>0.38</v>
      </c>
      <c r="G177" s="14">
        <f t="shared" si="38"/>
        <v>5255.181818181818</v>
      </c>
      <c r="M177">
        <f t="shared" si="39"/>
        <v>-734400</v>
      </c>
    </row>
    <row r="178" spans="6:13" x14ac:dyDescent="0.25">
      <c r="F178" s="1">
        <v>0.39</v>
      </c>
      <c r="G178" s="14">
        <f t="shared" si="38"/>
        <v>5254.9655172413795</v>
      </c>
      <c r="M178">
        <f t="shared" si="39"/>
        <v>-790725</v>
      </c>
    </row>
    <row r="179" spans="6:13" x14ac:dyDescent="0.25">
      <c r="F179" s="1">
        <v>0.4</v>
      </c>
      <c r="G179" s="14">
        <f t="shared" si="38"/>
        <v>5254.7368421052633</v>
      </c>
      <c r="M179">
        <f t="shared" si="39"/>
        <v>-847500</v>
      </c>
    </row>
    <row r="180" spans="6:13" x14ac:dyDescent="0.25">
      <c r="F180" s="1">
        <v>0.41</v>
      </c>
      <c r="G180" s="14">
        <f t="shared" si="38"/>
        <v>5254.4960835509137</v>
      </c>
      <c r="M180">
        <f t="shared" si="39"/>
        <v>-904725</v>
      </c>
    </row>
    <row r="181" spans="6:13" x14ac:dyDescent="0.25">
      <c r="F181" s="1">
        <v>0.42</v>
      </c>
      <c r="G181" s="14">
        <f t="shared" si="38"/>
        <v>5254.2435233160622</v>
      </c>
      <c r="M181">
        <f t="shared" si="39"/>
        <v>-962400</v>
      </c>
    </row>
    <row r="182" spans="6:13" x14ac:dyDescent="0.25">
      <c r="F182" s="1">
        <v>0.43</v>
      </c>
      <c r="G182" s="14">
        <f t="shared" si="38"/>
        <v>5253.9794344473012</v>
      </c>
      <c r="M182">
        <f t="shared" si="39"/>
        <v>-1020525</v>
      </c>
    </row>
    <row r="183" spans="6:13" x14ac:dyDescent="0.25">
      <c r="F183" s="1">
        <v>0.44</v>
      </c>
      <c r="G183" s="14">
        <f t="shared" si="38"/>
        <v>5253.7040816326535</v>
      </c>
      <c r="M183">
        <f t="shared" si="39"/>
        <v>-1079100</v>
      </c>
    </row>
    <row r="184" spans="6:13" x14ac:dyDescent="0.25">
      <c r="F184" s="1">
        <v>0.45</v>
      </c>
      <c r="G184" s="14">
        <f t="shared" si="38"/>
        <v>5253.4177215189875</v>
      </c>
      <c r="M184">
        <f t="shared" si="39"/>
        <v>-1138125</v>
      </c>
    </row>
    <row r="185" spans="6:13" x14ac:dyDescent="0.25">
      <c r="F185" s="1">
        <v>0.46</v>
      </c>
      <c r="G185" s="14">
        <f t="shared" si="38"/>
        <v>5253.1206030150752</v>
      </c>
      <c r="M185">
        <f t="shared" si="39"/>
        <v>-1197600</v>
      </c>
    </row>
    <row r="186" spans="6:13" x14ac:dyDescent="0.25">
      <c r="F186" s="1">
        <v>0.47</v>
      </c>
      <c r="G186" s="14">
        <f t="shared" si="38"/>
        <v>5252.8129675810478</v>
      </c>
      <c r="M186">
        <f t="shared" si="39"/>
        <v>-1257525</v>
      </c>
    </row>
    <row r="187" spans="6:13" x14ac:dyDescent="0.25">
      <c r="F187" s="1">
        <v>0.48</v>
      </c>
      <c r="G187" s="14">
        <f t="shared" si="38"/>
        <v>5252.4950495049507</v>
      </c>
      <c r="M187">
        <f t="shared" si="39"/>
        <v>-1317900</v>
      </c>
    </row>
    <row r="188" spans="6:13" x14ac:dyDescent="0.25">
      <c r="F188" s="1">
        <v>0.49</v>
      </c>
      <c r="G188" s="14">
        <f t="shared" si="38"/>
        <v>5252.1670761670757</v>
      </c>
      <c r="M188">
        <f t="shared" si="39"/>
        <v>-1378725</v>
      </c>
    </row>
    <row r="189" spans="6:13" x14ac:dyDescent="0.25">
      <c r="F189" s="1">
        <v>0.5</v>
      </c>
      <c r="G189" s="14">
        <f t="shared" si="38"/>
        <v>5251.8292682926831</v>
      </c>
      <c r="M189">
        <f t="shared" si="39"/>
        <v>-1440000</v>
      </c>
    </row>
    <row r="192" spans="6:13" x14ac:dyDescent="0.25">
      <c r="F192" t="s">
        <v>78</v>
      </c>
      <c r="G192" t="s">
        <v>79</v>
      </c>
      <c r="H192" t="s">
        <v>80</v>
      </c>
    </row>
    <row r="193" spans="6:9" x14ac:dyDescent="0.25">
      <c r="F193">
        <f>4*$I$2^3*$G$2^2*$A$2*$B$2*($D$2-$F$2*$D$2-1)</f>
        <v>-8999999.9999999981</v>
      </c>
      <c r="G193">
        <f>(2*$G$2*$I$2^2*$H$2+2*($I$138+$G$138)*$G$2^2*$I$2^3)*$A$2*$B$2*($D$2-$F$2*$D$2-1)-2*$G$2*$I$2^2*$H$2*$A$2*(1+$B$2)-2*($I$138+$G$138)*$I$2^3*$G$2^2*$K$109-2*($I$138+$G$138)*$I$2^3*$G$2^2*$A$2*(1+$B$2)+$I$2^2*$G$2^2*$E$9-$I$2^3*$G$2^2*$K$109+$H$2*$I$2^2*$G$2*$K$109</f>
        <v>-2812500</v>
      </c>
      <c r="H193">
        <f>(-1)*(($H$2^2+2*($I$90+$I$91)*$G$2*$H$2*$I$2+($I$90+$I$91)^2*$G$2^2*$I$2^2)*$I$2*$A$2*(1+$B$2)-$I$2*$G$2*$E$9*$H$2-$I$2^2*$G$2^2*$E$9*($I$90+$I$91)+($H$2+($I$90+$I$91)*$G$2*$I$2-$H$2*($I$90+$I$91)- ($I$90+$I$91)^2*$G$2*$I$2)*$I$2^2*$G$2*$K$91)</f>
        <v>1125000</v>
      </c>
      <c r="I193" s="10">
        <f>(-G193-(G193^2-4*F193*H193)^0.5)/(2*F193)</f>
        <v>0.23029115240165571</v>
      </c>
    </row>
    <row r="194" spans="6:9" x14ac:dyDescent="0.25">
      <c r="H194">
        <f>-(($H$2^2+2*(F95+$I$90+$I$91)*$G$2*$H$2*$I$2+(F95+$I$90+$I$91)^2*$G$2^2*$I$2^2)*$I$2*$A$2*(1+$B$2)-$I$2*$G$2*$E$9*$H$2-$I$2^2*$G$2^2*$E$9*(F95+$I$90+$I$91)+($H$2+(F95+$I$90+$I$91)*$G$2*$I$2-$H$2*(F95+$I$90+$I$91)- (F95+$I$90+$I$91)^2*$G$2*$I$2)*$I$2^2*$G$2*$K$91)</f>
        <v>1125000</v>
      </c>
    </row>
    <row r="195" spans="6:9" x14ac:dyDescent="0.25">
      <c r="I195">
        <v>0.23029115240165601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0153945</dc:creator>
  <cp:lastModifiedBy>0153945</cp:lastModifiedBy>
  <dcterms:created xsi:type="dcterms:W3CDTF">2013-03-21T02:24:54Z</dcterms:created>
  <dcterms:modified xsi:type="dcterms:W3CDTF">2013-05-24T15:01:59Z</dcterms:modified>
</cp:coreProperties>
</file>